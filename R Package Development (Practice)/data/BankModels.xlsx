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4355" windowHeight="8505"/>
  </bookViews>
  <sheets>
    <sheet name="Bank Model" sheetId="2" r:id="rId1"/>
  </sheets>
  <calcPr calcId="145621"/>
</workbook>
</file>

<file path=xl/calcChain.xml><?xml version="1.0" encoding="utf-8"?>
<calcChain xmlns="http://schemas.openxmlformats.org/spreadsheetml/2006/main"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4" i="2"/>
  <c r="B3" i="2" l="1"/>
  <c r="J3" i="2" s="1"/>
  <c r="K3" i="2" s="1"/>
  <c r="E4" i="2" s="1"/>
  <c r="G4" i="2"/>
  <c r="F4" i="2"/>
  <c r="I3" i="2"/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I4" i="2" l="1"/>
  <c r="G5" i="2" l="1"/>
  <c r="E5" i="2"/>
  <c r="J4" i="2"/>
  <c r="K4" i="2" l="1"/>
  <c r="F5" i="2" s="1"/>
  <c r="I5" i="2" l="1"/>
  <c r="J5" i="2" l="1"/>
  <c r="K5" i="2" s="1"/>
  <c r="G6" i="2" s="1"/>
  <c r="F6" i="2"/>
  <c r="E6" i="2"/>
  <c r="I6" i="2" l="1"/>
  <c r="F7" i="2" l="1"/>
  <c r="J6" i="2"/>
  <c r="K6" i="2" s="1"/>
  <c r="G7" i="2" s="1"/>
  <c r="E7" i="2" l="1"/>
  <c r="I7" i="2" s="1"/>
  <c r="J7" i="2" s="1"/>
  <c r="K7" i="2" s="1"/>
  <c r="E8" i="2" s="1"/>
  <c r="G8" i="2" l="1"/>
  <c r="F8" i="2"/>
  <c r="I8" i="2" l="1"/>
  <c r="J8" i="2" s="1"/>
  <c r="K8" i="2" s="1"/>
  <c r="E9" i="2" s="1"/>
  <c r="G9" i="2" l="1"/>
  <c r="F9" i="2"/>
  <c r="I9" i="2" s="1"/>
  <c r="J9" i="2" l="1"/>
  <c r="K9" i="2" s="1"/>
  <c r="F10" i="2" s="1"/>
  <c r="G10" i="2"/>
  <c r="E10" i="2" l="1"/>
  <c r="I10" i="2" s="1"/>
  <c r="J10" i="2" l="1"/>
  <c r="K10" i="2" s="1"/>
  <c r="F11" i="2" s="1"/>
  <c r="E11" i="2" l="1"/>
  <c r="G11" i="2"/>
  <c r="I11" i="2" l="1"/>
  <c r="J11" i="2" s="1"/>
  <c r="K11" i="2" s="1"/>
  <c r="E12" i="2" s="1"/>
  <c r="G12" i="2" l="1"/>
  <c r="F12" i="2"/>
  <c r="I12" i="2" l="1"/>
  <c r="J12" i="2" s="1"/>
  <c r="K12" i="2" s="1"/>
  <c r="E13" i="2" s="1"/>
  <c r="F13" i="2" l="1"/>
  <c r="G13" i="2"/>
  <c r="I13" i="2" s="1"/>
  <c r="J13" i="2" l="1"/>
  <c r="K13" i="2" s="1"/>
  <c r="G14" i="2" s="1"/>
  <c r="E14" i="2" l="1"/>
  <c r="F14" i="2"/>
  <c r="I14" i="2" l="1"/>
  <c r="J14" i="2" s="1"/>
  <c r="K14" i="2" s="1"/>
  <c r="F15" i="2" s="1"/>
  <c r="E15" i="2" l="1"/>
  <c r="G15" i="2"/>
  <c r="I15" i="2" l="1"/>
  <c r="J15" i="2" s="1"/>
  <c r="K15" i="2" s="1"/>
  <c r="E16" i="2" s="1"/>
  <c r="F16" i="2" l="1"/>
  <c r="G16" i="2"/>
  <c r="I16" i="2" l="1"/>
  <c r="J16" i="2" s="1"/>
  <c r="K16" i="2" s="1"/>
  <c r="G17" i="2" s="1"/>
  <c r="F17" i="2" l="1"/>
  <c r="E17" i="2"/>
  <c r="I17" i="2" l="1"/>
  <c r="J17" i="2" s="1"/>
  <c r="K17" i="2" s="1"/>
  <c r="G18" i="2" s="1"/>
  <c r="F18" i="2" l="1"/>
  <c r="E18" i="2"/>
  <c r="I18" i="2" l="1"/>
  <c r="J18" i="2" s="1"/>
  <c r="K18" i="2" s="1"/>
  <c r="F19" i="2" s="1"/>
  <c r="E19" i="2" l="1"/>
  <c r="G19" i="2"/>
  <c r="I19" i="2" l="1"/>
  <c r="J19" i="2" s="1"/>
  <c r="K19" i="2" s="1"/>
  <c r="G20" i="2" s="1"/>
  <c r="F20" i="2"/>
  <c r="E20" i="2" l="1"/>
  <c r="I20" i="2"/>
  <c r="J20" i="2" s="1"/>
  <c r="K20" i="2" s="1"/>
  <c r="E21" i="2" s="1"/>
  <c r="G21" i="2" l="1"/>
  <c r="F21" i="2"/>
  <c r="I21" i="2" s="1"/>
  <c r="J21" i="2" l="1"/>
  <c r="K21" i="2" s="1"/>
  <c r="F22" i="2" s="1"/>
  <c r="G22" i="2" l="1"/>
  <c r="E22" i="2"/>
  <c r="I22" i="2" s="1"/>
  <c r="J22" i="2" l="1"/>
  <c r="K22" i="2" s="1"/>
  <c r="F23" i="2" s="1"/>
  <c r="E23" i="2" l="1"/>
  <c r="G23" i="2"/>
  <c r="I23" i="2" l="1"/>
  <c r="J23" i="2" s="1"/>
  <c r="K23" i="2" s="1"/>
  <c r="E24" i="2" s="1"/>
  <c r="F24" i="2" l="1"/>
  <c r="G24" i="2"/>
  <c r="I24" i="2" l="1"/>
  <c r="J24" i="2" l="1"/>
  <c r="K24" i="2" s="1"/>
  <c r="F25" i="2" s="1"/>
  <c r="G25" i="2" l="1"/>
  <c r="E25" i="2"/>
  <c r="I25" i="2" l="1"/>
  <c r="J25" i="2" s="1"/>
  <c r="K25" i="2" s="1"/>
  <c r="G26" i="2" s="1"/>
  <c r="F26" i="2" l="1"/>
  <c r="E26" i="2"/>
  <c r="I26" i="2" l="1"/>
  <c r="J26" i="2" s="1"/>
  <c r="K26" i="2" s="1"/>
  <c r="G27" i="2" s="1"/>
  <c r="E27" i="2" l="1"/>
  <c r="F27" i="2"/>
  <c r="I27" i="2" l="1"/>
  <c r="J27" i="2" s="1"/>
  <c r="K27" i="2" s="1"/>
  <c r="F28" i="2" s="1"/>
  <c r="G28" i="2" l="1"/>
  <c r="E28" i="2"/>
  <c r="I28" i="2" l="1"/>
  <c r="J28" i="2" s="1"/>
  <c r="K28" i="2" s="1"/>
  <c r="G29" i="2" s="1"/>
  <c r="E29" i="2" l="1"/>
  <c r="F29" i="2"/>
  <c r="I29" i="2" l="1"/>
  <c r="J29" i="2" s="1"/>
  <c r="K29" i="2" s="1"/>
  <c r="G30" i="2" s="1"/>
  <c r="F30" i="2" l="1"/>
  <c r="E30" i="2"/>
  <c r="I30" i="2" l="1"/>
  <c r="J30" i="2" s="1"/>
  <c r="K30" i="2" s="1"/>
  <c r="G31" i="2" s="1"/>
  <c r="E31" i="2" l="1"/>
  <c r="F31" i="2"/>
  <c r="I31" i="2" l="1"/>
  <c r="J31" i="2" s="1"/>
  <c r="K31" i="2" s="1"/>
  <c r="G32" i="2" s="1"/>
  <c r="E32" i="2" l="1"/>
  <c r="F32" i="2"/>
  <c r="I32" i="2" l="1"/>
  <c r="J32" i="2" s="1"/>
  <c r="K32" i="2" s="1"/>
  <c r="E33" i="2" s="1"/>
  <c r="G33" i="2" l="1"/>
  <c r="F33" i="2"/>
  <c r="I33" i="2" s="1"/>
  <c r="J33" i="2" l="1"/>
  <c r="K33" i="2" s="1"/>
  <c r="G34" i="2" s="1"/>
  <c r="F34" i="2" l="1"/>
  <c r="E34" i="2"/>
  <c r="I34" i="2" s="1"/>
  <c r="J34" i="2" l="1"/>
  <c r="K34" i="2" s="1"/>
  <c r="E35" i="2" s="1"/>
  <c r="G35" i="2" l="1"/>
  <c r="F35" i="2"/>
  <c r="I35" i="2" l="1"/>
  <c r="J35" i="2" s="1"/>
  <c r="K35" i="2" s="1"/>
  <c r="G36" i="2" s="1"/>
  <c r="F36" i="2" l="1"/>
  <c r="E36" i="2"/>
  <c r="I36" i="2" l="1"/>
  <c r="J36" i="2" s="1"/>
  <c r="K36" i="2" s="1"/>
  <c r="E37" i="2" s="1"/>
  <c r="G37" i="2" l="1"/>
  <c r="F37" i="2"/>
  <c r="I37" i="2" l="1"/>
  <c r="J37" i="2" s="1"/>
  <c r="K37" i="2" s="1"/>
  <c r="G38" i="2" s="1"/>
  <c r="F38" i="2" l="1"/>
  <c r="E38" i="2"/>
  <c r="I38" i="2" s="1"/>
  <c r="J38" i="2" l="1"/>
  <c r="K38" i="2" s="1"/>
  <c r="G39" i="2" s="1"/>
  <c r="E39" i="2" l="1"/>
  <c r="F39" i="2"/>
  <c r="I39" i="2" l="1"/>
  <c r="J39" i="2" s="1"/>
  <c r="K39" i="2" s="1"/>
  <c r="G40" i="2" s="1"/>
  <c r="E40" i="2" l="1"/>
  <c r="I40" i="2" s="1"/>
  <c r="F40" i="2"/>
  <c r="J40" i="2" l="1"/>
  <c r="K40" i="2" s="1"/>
  <c r="G41" i="2" s="1"/>
  <c r="F41" i="2" l="1"/>
  <c r="E41" i="2"/>
  <c r="I41" i="2" s="1"/>
  <c r="J41" i="2" l="1"/>
  <c r="K41" i="2" s="1"/>
  <c r="G42" i="2" s="1"/>
  <c r="E42" i="2" l="1"/>
  <c r="F42" i="2"/>
  <c r="I42" i="2" l="1"/>
  <c r="J42" i="2" s="1"/>
  <c r="K42" i="2" s="1"/>
  <c r="F43" i="2" s="1"/>
  <c r="E43" i="2" l="1"/>
  <c r="I43" i="2" s="1"/>
  <c r="G43" i="2"/>
  <c r="J43" i="2" l="1"/>
  <c r="K43" i="2" s="1"/>
  <c r="G44" i="2" s="1"/>
  <c r="F44" i="2"/>
  <c r="I44" i="2" s="1"/>
  <c r="J44" i="2" s="1"/>
  <c r="K44" i="2" s="1"/>
  <c r="F45" i="2" s="1"/>
  <c r="E44" i="2"/>
  <c r="E45" i="2" l="1"/>
  <c r="G45" i="2"/>
  <c r="I45" i="2" l="1"/>
  <c r="J45" i="2" s="1"/>
  <c r="K45" i="2" s="1"/>
  <c r="E46" i="2" s="1"/>
  <c r="F46" i="2" l="1"/>
  <c r="I46" i="2" s="1"/>
  <c r="J46" i="2" s="1"/>
  <c r="K46" i="2" s="1"/>
  <c r="E47" i="2" s="1"/>
  <c r="G46" i="2"/>
  <c r="F47" i="2" l="1"/>
  <c r="G47" i="2"/>
  <c r="I47" i="2" l="1"/>
  <c r="J47" i="2" s="1"/>
  <c r="K47" i="2" s="1"/>
  <c r="G48" i="2" s="1"/>
  <c r="F48" i="2" l="1"/>
  <c r="E48" i="2"/>
  <c r="I48" i="2" l="1"/>
  <c r="J48" i="2" s="1"/>
  <c r="K48" i="2" s="1"/>
  <c r="E49" i="2" s="1"/>
  <c r="G49" i="2" l="1"/>
  <c r="F49" i="2"/>
  <c r="I49" i="2" s="1"/>
  <c r="J49" i="2" l="1"/>
  <c r="K49" i="2" s="1"/>
  <c r="E50" i="2" s="1"/>
  <c r="G50" i="2" l="1"/>
  <c r="F50" i="2"/>
  <c r="I50" i="2" l="1"/>
  <c r="J50" i="2" s="1"/>
  <c r="K50" i="2" s="1"/>
  <c r="G51" i="2" s="1"/>
  <c r="F51" i="2" l="1"/>
  <c r="E51" i="2"/>
  <c r="I51" i="2" l="1"/>
  <c r="J51" i="2" s="1"/>
  <c r="K51" i="2" s="1"/>
  <c r="F52" i="2" s="1"/>
  <c r="E52" i="2" l="1"/>
  <c r="G52" i="2"/>
  <c r="I52" i="2" l="1"/>
  <c r="J52" i="2" s="1"/>
  <c r="K52" i="2" s="1"/>
  <c r="E53" i="2" s="1"/>
  <c r="F53" i="2" l="1"/>
  <c r="G53" i="2"/>
  <c r="I53" i="2" l="1"/>
  <c r="J53" i="2" s="1"/>
  <c r="K53" i="2" s="1"/>
  <c r="E54" i="2" s="1"/>
  <c r="F54" i="2" l="1"/>
  <c r="G54" i="2"/>
  <c r="I54" i="2" l="1"/>
  <c r="J54" i="2" s="1"/>
  <c r="K54" i="2" s="1"/>
  <c r="E55" i="2" s="1"/>
  <c r="F55" i="2" l="1"/>
  <c r="G55" i="2"/>
  <c r="I55" i="2" l="1"/>
  <c r="J55" i="2" s="1"/>
  <c r="K55" i="2" s="1"/>
  <c r="G56" i="2" s="1"/>
  <c r="F56" i="2" l="1"/>
  <c r="E56" i="2"/>
  <c r="I56" i="2" l="1"/>
  <c r="J56" i="2" s="1"/>
  <c r="K56" i="2" s="1"/>
  <c r="E57" i="2" s="1"/>
  <c r="G57" i="2" l="1"/>
  <c r="F57" i="2"/>
  <c r="I57" i="2" l="1"/>
  <c r="J57" i="2" s="1"/>
  <c r="K57" i="2" s="1"/>
  <c r="F58" i="2" s="1"/>
  <c r="E58" i="2" l="1"/>
  <c r="G58" i="2"/>
  <c r="I58" i="2"/>
  <c r="J58" i="2" s="1"/>
  <c r="K58" i="2" s="1"/>
  <c r="F59" i="2" s="1"/>
  <c r="G59" i="2" l="1"/>
  <c r="E59" i="2"/>
  <c r="I59" i="2"/>
  <c r="J59" i="2" s="1"/>
  <c r="K59" i="2" s="1"/>
  <c r="F60" i="2" s="1"/>
  <c r="G60" i="2" l="1"/>
  <c r="E60" i="2"/>
  <c r="I60" i="2" l="1"/>
  <c r="J60" i="2" s="1"/>
  <c r="K60" i="2" s="1"/>
  <c r="G61" i="2" s="1"/>
  <c r="F61" i="2" l="1"/>
  <c r="E61" i="2"/>
  <c r="I61" i="2" l="1"/>
  <c r="J61" i="2" s="1"/>
  <c r="K61" i="2" s="1"/>
  <c r="F62" i="2" s="1"/>
  <c r="G62" i="2" l="1"/>
  <c r="E62" i="2"/>
  <c r="I62" i="2" l="1"/>
  <c r="J62" i="2" s="1"/>
  <c r="K62" i="2" s="1"/>
  <c r="E63" i="2" s="1"/>
  <c r="F63" i="2" l="1"/>
  <c r="G63" i="2"/>
  <c r="I63" i="2" l="1"/>
  <c r="J63" i="2" s="1"/>
  <c r="K63" i="2" s="1"/>
  <c r="F64" i="2" s="1"/>
  <c r="G64" i="2" l="1"/>
  <c r="E64" i="2"/>
  <c r="I64" i="2" l="1"/>
  <c r="J64" i="2" s="1"/>
  <c r="K64" i="2" s="1"/>
  <c r="F65" i="2" s="1"/>
  <c r="G65" i="2" l="1"/>
  <c r="E65" i="2"/>
  <c r="I65" i="2" s="1"/>
  <c r="J65" i="2" l="1"/>
  <c r="K65" i="2" s="1"/>
  <c r="G66" i="2" s="1"/>
  <c r="F66" i="2" l="1"/>
  <c r="E66" i="2"/>
  <c r="I66" i="2" l="1"/>
  <c r="J66" i="2" s="1"/>
  <c r="K66" i="2" s="1"/>
  <c r="E67" i="2" s="1"/>
  <c r="G67" i="2" l="1"/>
  <c r="F67" i="2"/>
  <c r="I67" i="2" l="1"/>
  <c r="J67" i="2" s="1"/>
  <c r="K67" i="2" s="1"/>
  <c r="E68" i="2" s="1"/>
  <c r="G68" i="2" l="1"/>
  <c r="F68" i="2"/>
  <c r="I68" i="2" l="1"/>
  <c r="J68" i="2" s="1"/>
  <c r="K68" i="2" s="1"/>
  <c r="G69" i="2" s="1"/>
  <c r="F69" i="2" l="1"/>
  <c r="E69" i="2"/>
  <c r="I69" i="2" l="1"/>
  <c r="J69" i="2" s="1"/>
  <c r="K69" i="2" s="1"/>
  <c r="G70" i="2" s="1"/>
  <c r="E70" i="2" l="1"/>
  <c r="F70" i="2"/>
  <c r="I70" i="2" l="1"/>
  <c r="J70" i="2" s="1"/>
  <c r="K70" i="2" s="1"/>
  <c r="F71" i="2" s="1"/>
  <c r="G71" i="2" l="1"/>
  <c r="E71" i="2"/>
  <c r="I71" i="2" l="1"/>
  <c r="J71" i="2" s="1"/>
  <c r="K71" i="2" s="1"/>
  <c r="G72" i="2" s="1"/>
  <c r="E72" i="2" l="1"/>
  <c r="F72" i="2"/>
  <c r="I72" i="2" l="1"/>
  <c r="J72" i="2" s="1"/>
  <c r="K72" i="2" s="1"/>
  <c r="F73" i="2" l="1"/>
  <c r="E73" i="2"/>
  <c r="G73" i="2"/>
  <c r="I73" i="2" l="1"/>
  <c r="J73" i="2" l="1"/>
  <c r="K73" i="2" s="1"/>
  <c r="F74" i="2" s="1"/>
  <c r="E74" i="2"/>
  <c r="G74" i="2" l="1"/>
  <c r="I74" i="2" s="1"/>
  <c r="J74" i="2" l="1"/>
  <c r="K74" i="2" s="1"/>
  <c r="E75" i="2" s="1"/>
  <c r="F75" i="2" l="1"/>
  <c r="G75" i="2"/>
  <c r="I75" i="2" s="1"/>
  <c r="J75" i="2" s="1"/>
  <c r="K75" i="2" s="1"/>
  <c r="G76" i="2" s="1"/>
  <c r="F76" i="2" l="1"/>
  <c r="E76" i="2"/>
  <c r="I76" i="2" l="1"/>
  <c r="E77" i="2" s="1"/>
  <c r="J76" i="2" l="1"/>
  <c r="K76" i="2" s="1"/>
  <c r="F77" i="2" s="1"/>
  <c r="G77" i="2" l="1"/>
  <c r="I77" i="2" s="1"/>
  <c r="J77" i="2" l="1"/>
  <c r="K77" i="2" s="1"/>
  <c r="E78" i="2" s="1"/>
  <c r="I78" i="2" s="1"/>
  <c r="F78" i="2"/>
  <c r="G78" i="2"/>
  <c r="J78" i="2" l="1"/>
  <c r="K78" i="2" s="1"/>
  <c r="G79" i="2" s="1"/>
  <c r="F79" i="2"/>
  <c r="E79" i="2"/>
  <c r="I79" i="2" l="1"/>
  <c r="E80" i="2" s="1"/>
  <c r="J79" i="2" l="1"/>
  <c r="K79" i="2" s="1"/>
  <c r="F80" i="2" s="1"/>
  <c r="G80" i="2" l="1"/>
  <c r="I80" i="2" s="1"/>
  <c r="F81" i="2" s="1"/>
  <c r="J80" i="2" l="1"/>
  <c r="K80" i="2" s="1"/>
  <c r="E81" i="2" s="1"/>
  <c r="G81" i="2"/>
  <c r="I81" i="2" l="1"/>
  <c r="E82" i="2" s="1"/>
  <c r="J81" i="2" l="1"/>
  <c r="K81" i="2" s="1"/>
  <c r="G82" i="2" s="1"/>
  <c r="F82" i="2" l="1"/>
  <c r="I82" i="2" s="1"/>
  <c r="E83" i="2" l="1"/>
  <c r="J82" i="2"/>
  <c r="K82" i="2" s="1"/>
  <c r="F83" i="2" s="1"/>
  <c r="G83" i="2" l="1"/>
  <c r="I83" i="2" s="1"/>
  <c r="F84" i="2" l="1"/>
  <c r="G84" i="2"/>
  <c r="J83" i="2"/>
  <c r="K83" i="2" s="1"/>
  <c r="E84" i="2" s="1"/>
  <c r="I84" i="2" l="1"/>
  <c r="G85" i="2" l="1"/>
  <c r="J84" i="2"/>
  <c r="K84" i="2" s="1"/>
  <c r="E85" i="2" s="1"/>
  <c r="F85" i="2" l="1"/>
  <c r="I85" i="2" s="1"/>
  <c r="G86" i="2" l="1"/>
  <c r="E86" i="2"/>
  <c r="I86" i="2" s="1"/>
  <c r="J85" i="2"/>
  <c r="K85" i="2" s="1"/>
  <c r="F86" i="2" s="1"/>
  <c r="J86" i="2" l="1"/>
  <c r="K86" i="2" s="1"/>
  <c r="G87" i="2" s="1"/>
  <c r="F87" i="2"/>
  <c r="E87" i="2" l="1"/>
  <c r="I87" i="2" s="1"/>
  <c r="J87" i="2" l="1"/>
  <c r="K87" i="2" s="1"/>
  <c r="G88" i="2" s="1"/>
  <c r="E88" i="2"/>
  <c r="I88" i="2" l="1"/>
  <c r="F88" i="2"/>
  <c r="E89" i="2" l="1"/>
  <c r="J88" i="2"/>
  <c r="K88" i="2" s="1"/>
  <c r="F89" i="2" s="1"/>
  <c r="G89" i="2" l="1"/>
  <c r="I89" i="2" s="1"/>
  <c r="G90" i="2" l="1"/>
  <c r="J89" i="2"/>
  <c r="K89" i="2" s="1"/>
  <c r="E90" i="2" s="1"/>
  <c r="F90" i="2"/>
  <c r="I90" i="2" l="1"/>
  <c r="J90" i="2" l="1"/>
  <c r="K90" i="2" s="1"/>
  <c r="G91" i="2" s="1"/>
  <c r="E91" i="2"/>
  <c r="F91" i="2" l="1"/>
  <c r="I91" i="2" s="1"/>
  <c r="J91" i="2" l="1"/>
  <c r="K91" i="2" s="1"/>
  <c r="F92" i="2" s="1"/>
  <c r="E92" i="2"/>
  <c r="G92" i="2" l="1"/>
  <c r="I92" i="2" s="1"/>
  <c r="J92" i="2" l="1"/>
  <c r="K92" i="2" s="1"/>
  <c r="E93" i="2" s="1"/>
  <c r="F93" i="2"/>
  <c r="G93" i="2"/>
  <c r="I93" i="2" l="1"/>
  <c r="F94" i="2" l="1"/>
  <c r="J93" i="2"/>
  <c r="K93" i="2" s="1"/>
  <c r="G94" i="2" s="1"/>
  <c r="E94" i="2"/>
  <c r="I94" i="2" l="1"/>
  <c r="J94" i="2" l="1"/>
  <c r="K94" i="2" s="1"/>
  <c r="F95" i="2" s="1"/>
  <c r="E95" i="2"/>
  <c r="G95" i="2" l="1"/>
  <c r="I95" i="2"/>
  <c r="J95" i="2" l="1"/>
  <c r="K95" i="2" s="1"/>
  <c r="E96" i="2" s="1"/>
  <c r="F96" i="2"/>
  <c r="G96" i="2"/>
  <c r="I96" i="2" l="1"/>
  <c r="J96" i="2" l="1"/>
  <c r="K96" i="2" s="1"/>
  <c r="G97" i="2" s="1"/>
  <c r="F97" i="2"/>
  <c r="E97" i="2"/>
  <c r="I97" i="2" l="1"/>
  <c r="J97" i="2" l="1"/>
  <c r="K97" i="2" s="1"/>
  <c r="F98" i="2" s="1"/>
  <c r="E98" i="2"/>
  <c r="I98" i="2" l="1"/>
  <c r="G98" i="2"/>
  <c r="J98" i="2" l="1"/>
  <c r="K98" i="2" s="1"/>
  <c r="G99" i="2" s="1"/>
  <c r="F99" i="2"/>
  <c r="E99" i="2" l="1"/>
  <c r="I99" i="2" s="1"/>
  <c r="J99" i="2" l="1"/>
  <c r="K99" i="2" s="1"/>
  <c r="G100" i="2" s="1"/>
  <c r="E100" i="2"/>
  <c r="I100" i="2" l="1"/>
  <c r="F100" i="2"/>
  <c r="E101" i="2" l="1"/>
  <c r="J100" i="2"/>
  <c r="K100" i="2" s="1"/>
  <c r="F101" i="2" s="1"/>
  <c r="G101" i="2"/>
  <c r="I101" i="2" l="1"/>
  <c r="J101" i="2" l="1"/>
  <c r="K101" i="2" s="1"/>
  <c r="E102" i="2" s="1"/>
  <c r="F102" i="2"/>
  <c r="G102" i="2"/>
  <c r="I102" i="2" l="1"/>
  <c r="J102" i="2" s="1"/>
  <c r="K102" i="2" s="1"/>
</calcChain>
</file>

<file path=xl/sharedStrings.xml><?xml version="1.0" encoding="utf-8"?>
<sst xmlns="http://schemas.openxmlformats.org/spreadsheetml/2006/main" count="9" uniqueCount="9">
  <si>
    <t>Customer</t>
  </si>
  <si>
    <t>Arrival Time</t>
  </si>
  <si>
    <t>Service Duration</t>
  </si>
  <si>
    <t>Arrivals</t>
  </si>
  <si>
    <t>Server Used</t>
  </si>
  <si>
    <t>Start time of service</t>
  </si>
  <si>
    <t>End time of service</t>
  </si>
  <si>
    <t>Server activity</t>
  </si>
  <si>
    <t>Times when the servers will first be available after dealing with all prior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</si>
</sst>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u/>
      <sz val="12"/>
      <color theme="3" tint="-0.499984740745262"/>
      <name val="Calibri"/>
      <family val="2"/>
      <scheme val="minor"/>
    </font>
    <font>
      <b/>
      <u/>
      <sz val="12"/>
      <color theme="5" tint="-0.499984740745262"/>
      <name val="Calibri"/>
      <family val="2"/>
      <scheme val="minor"/>
    </font>
    <font>
      <b/>
      <u/>
      <sz val="12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20" fillId="0" borderId="0" xfId="0" applyFont="1" applyAlignment="1">
      <alignment horizontal="center"/>
    </xf>
    <xf numFmtId="2" fontId="20" fillId="0" borderId="0" xfId="0" applyNumberFormat="1" applyFont="1" applyAlignment="1">
      <alignment horizontal="right"/>
    </xf>
    <xf numFmtId="0" fontId="20" fillId="0" borderId="0" xfId="0" applyFont="1"/>
    <xf numFmtId="2" fontId="22" fillId="0" borderId="0" xfId="0" applyNumberFormat="1" applyFont="1"/>
    <xf numFmtId="0" fontId="19" fillId="0" borderId="0" xfId="0" applyFont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 wrapText="1"/>
    </xf>
    <xf numFmtId="0" fontId="0" fillId="33" borderId="0" xfId="0" applyFill="1"/>
    <xf numFmtId="0" fontId="0" fillId="33" borderId="0" xfId="0" applyFill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2" fontId="27" fillId="0" borderId="0" xfId="0" applyNumberFormat="1" applyFont="1" applyAlignment="1">
      <alignment horizontal="right"/>
    </xf>
    <xf numFmtId="0" fontId="22" fillId="0" borderId="0" xfId="0" applyFont="1" applyAlignment="1">
      <alignment horizontal="center"/>
    </xf>
    <xf numFmtId="0" fontId="25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tabSelected="1" zoomScaleNormal="100" workbookViewId="0">
      <selection sqref="A1:C1"/>
    </sheetView>
  </sheetViews>
  <sheetFormatPr defaultRowHeight="15" x14ac:dyDescent="0.25"/>
  <cols>
    <col min="1" max="1" width="9.85546875" style="4" customWidth="1"/>
    <col min="2" max="2" width="7.5703125" style="4" customWidth="1"/>
    <col min="3" max="3" width="8.42578125" style="4" customWidth="1"/>
    <col min="4" max="4" width="2.42578125" style="9" customWidth="1"/>
    <col min="5" max="7" width="10.140625" customWidth="1"/>
    <col min="8" max="8" width="2.42578125" style="9" customWidth="1"/>
  </cols>
  <sheetData>
    <row r="1" spans="1:11" ht="48" customHeight="1" x14ac:dyDescent="0.25">
      <c r="A1" s="17" t="s">
        <v>3</v>
      </c>
      <c r="B1" s="17"/>
      <c r="C1" s="17"/>
      <c r="D1" s="7"/>
      <c r="E1" s="15" t="s">
        <v>8</v>
      </c>
      <c r="F1" s="15"/>
      <c r="G1" s="15"/>
      <c r="H1" s="10"/>
      <c r="I1" s="16" t="s">
        <v>7</v>
      </c>
      <c r="J1" s="16"/>
      <c r="K1" s="16"/>
    </row>
    <row r="2" spans="1:11" s="1" customFormat="1" ht="60" customHeight="1" x14ac:dyDescent="0.25">
      <c r="A2" s="6" t="s">
        <v>0</v>
      </c>
      <c r="B2" s="6" t="s">
        <v>1</v>
      </c>
      <c r="C2" s="6" t="s">
        <v>2</v>
      </c>
      <c r="D2" s="8"/>
      <c r="E2" s="12">
        <v>1</v>
      </c>
      <c r="F2" s="12">
        <v>2</v>
      </c>
      <c r="G2" s="12">
        <v>3</v>
      </c>
      <c r="H2" s="8"/>
      <c r="I2" s="11" t="s">
        <v>4</v>
      </c>
      <c r="J2" s="11" t="s">
        <v>5</v>
      </c>
      <c r="K2" s="11" t="s">
        <v>6</v>
      </c>
    </row>
    <row r="3" spans="1:11" x14ac:dyDescent="0.25">
      <c r="A3" s="2">
        <v>1</v>
      </c>
      <c r="B3" s="3">
        <f ca="1">-60*LN(RAND())</f>
        <v>31.072835477115159</v>
      </c>
      <c r="C3" s="3">
        <v>193.33000999999999</v>
      </c>
      <c r="E3" s="13">
        <v>0</v>
      </c>
      <c r="F3" s="13">
        <v>0</v>
      </c>
      <c r="G3" s="13">
        <v>0</v>
      </c>
      <c r="I3" s="14">
        <f>IF(E3&lt;=MIN(F3:G3), 1, IF(F3&lt;=G3, 2, 3))</f>
        <v>1</v>
      </c>
      <c r="J3" s="5">
        <f ca="1">MAX(B3, OFFSET(D3, 0, I3))</f>
        <v>31.072835477115159</v>
      </c>
      <c r="K3" s="5">
        <f ca="1">J3+C3</f>
        <v>224.40284547711514</v>
      </c>
    </row>
    <row r="4" spans="1:11" x14ac:dyDescent="0.25">
      <c r="A4" s="2">
        <f>A3+1</f>
        <v>2</v>
      </c>
      <c r="B4" s="3">
        <f ca="1">B3-60*LN(RAND())</f>
        <v>213.33937445845086</v>
      </c>
      <c r="C4" s="3">
        <v>338.77384000000001</v>
      </c>
      <c r="E4" s="13">
        <f ca="1">IF($I3=E$2, $K3, E3)</f>
        <v>224.40284547711514</v>
      </c>
      <c r="F4" s="13">
        <f t="shared" ref="F4:F67" si="0">IF($I3=F$2, $K3, F3)</f>
        <v>0</v>
      </c>
      <c r="G4" s="13">
        <f t="shared" ref="G4:G67" si="1">IF($I3=G$2, $K3, G3)</f>
        <v>0</v>
      </c>
      <c r="I4" s="14">
        <f ca="1">IF(E4&lt;=MIN(F4:G4), 1, IF(F4&lt;=G4, 2, 3))</f>
        <v>2</v>
      </c>
      <c r="J4" s="5">
        <f ca="1">MAX(B4, OFFSET(D4, 0, I4))</f>
        <v>213.33937445845086</v>
      </c>
      <c r="K4" s="5">
        <f ca="1">J4+C4</f>
        <v>552.1132144584509</v>
      </c>
    </row>
    <row r="5" spans="1:11" x14ac:dyDescent="0.25">
      <c r="A5" s="2">
        <f t="shared" ref="A5:A68" si="2">A4+1</f>
        <v>3</v>
      </c>
      <c r="B5" s="3">
        <f t="shared" ref="B5:B68" ca="1" si="3">B4-60*LN(RAND())</f>
        <v>244.14696839133626</v>
      </c>
      <c r="C5" s="3">
        <v>40.894665000000003</v>
      </c>
      <c r="E5" s="13">
        <f t="shared" ref="E5:E68" ca="1" si="4">IF($I4=E$2, $K4, E4)</f>
        <v>224.40284547711514</v>
      </c>
      <c r="F5" s="13">
        <f t="shared" ca="1" si="0"/>
        <v>552.1132144584509</v>
      </c>
      <c r="G5" s="13">
        <f t="shared" ca="1" si="1"/>
        <v>0</v>
      </c>
      <c r="I5" s="14">
        <f t="shared" ref="I5:I68" ca="1" si="5">IF(E5&lt;=MIN(F5:G5), 1, IF(F5&lt;=G5, 2, 3))</f>
        <v>3</v>
      </c>
      <c r="J5" s="5">
        <f t="shared" ref="J5:J68" ca="1" si="6">MAX(B5, OFFSET(D5, 0, I5))</f>
        <v>244.14696839133626</v>
      </c>
      <c r="K5" s="5">
        <f t="shared" ref="K5:K68" ca="1" si="7">J5+C5</f>
        <v>285.04163339133629</v>
      </c>
    </row>
    <row r="6" spans="1:11" x14ac:dyDescent="0.25">
      <c r="A6" s="2">
        <f t="shared" si="2"/>
        <v>4</v>
      </c>
      <c r="B6" s="3">
        <f t="shared" ca="1" si="3"/>
        <v>319.67232583993211</v>
      </c>
      <c r="C6" s="3">
        <v>349.76695999999998</v>
      </c>
      <c r="E6" s="13">
        <f t="shared" ca="1" si="4"/>
        <v>224.40284547711514</v>
      </c>
      <c r="F6" s="13">
        <f t="shared" ca="1" si="0"/>
        <v>552.1132144584509</v>
      </c>
      <c r="G6" s="13">
        <f t="shared" ca="1" si="1"/>
        <v>285.04163339133629</v>
      </c>
      <c r="I6" s="14">
        <f t="shared" ca="1" si="5"/>
        <v>1</v>
      </c>
      <c r="J6" s="5">
        <f t="shared" ca="1" si="6"/>
        <v>319.67232583993211</v>
      </c>
      <c r="K6" s="5">
        <f t="shared" ca="1" si="7"/>
        <v>669.43928583993215</v>
      </c>
    </row>
    <row r="7" spans="1:11" x14ac:dyDescent="0.25">
      <c r="A7" s="2">
        <f t="shared" si="2"/>
        <v>5</v>
      </c>
      <c r="B7" s="3">
        <f t="shared" ca="1" si="3"/>
        <v>469.16831023752798</v>
      </c>
      <c r="C7" s="3">
        <v>105.79130000000001</v>
      </c>
      <c r="E7" s="13">
        <f t="shared" ca="1" si="4"/>
        <v>669.43928583993215</v>
      </c>
      <c r="F7" s="13">
        <f t="shared" ca="1" si="0"/>
        <v>552.1132144584509</v>
      </c>
      <c r="G7" s="13">
        <f t="shared" ca="1" si="1"/>
        <v>285.04163339133629</v>
      </c>
      <c r="I7" s="14">
        <f t="shared" ca="1" si="5"/>
        <v>3</v>
      </c>
      <c r="J7" s="5">
        <f t="shared" ca="1" si="6"/>
        <v>469.16831023752798</v>
      </c>
      <c r="K7" s="5">
        <f t="shared" ca="1" si="7"/>
        <v>574.95961023752795</v>
      </c>
    </row>
    <row r="8" spans="1:11" x14ac:dyDescent="0.25">
      <c r="A8" s="2">
        <f t="shared" si="2"/>
        <v>6</v>
      </c>
      <c r="B8" s="3">
        <f t="shared" ca="1" si="3"/>
        <v>556.53179574482715</v>
      </c>
      <c r="C8" s="3">
        <v>52.269205300000003</v>
      </c>
      <c r="E8" s="13">
        <f t="shared" ca="1" si="4"/>
        <v>669.43928583993215</v>
      </c>
      <c r="F8" s="13">
        <f t="shared" ca="1" si="0"/>
        <v>552.1132144584509</v>
      </c>
      <c r="G8" s="13">
        <f t="shared" ca="1" si="1"/>
        <v>574.95961023752795</v>
      </c>
      <c r="I8" s="14">
        <f t="shared" ca="1" si="5"/>
        <v>2</v>
      </c>
      <c r="J8" s="5">
        <f t="shared" ca="1" si="6"/>
        <v>556.53179574482715</v>
      </c>
      <c r="K8" s="5">
        <f t="shared" ca="1" si="7"/>
        <v>608.8010010448271</v>
      </c>
    </row>
    <row r="9" spans="1:11" x14ac:dyDescent="0.25">
      <c r="A9" s="2">
        <f t="shared" si="2"/>
        <v>7</v>
      </c>
      <c r="B9" s="3">
        <f t="shared" ca="1" si="3"/>
        <v>563.54116714394354</v>
      </c>
      <c r="C9" s="3">
        <v>411.64100000000002</v>
      </c>
      <c r="E9" s="13">
        <f t="shared" ca="1" si="4"/>
        <v>669.43928583993215</v>
      </c>
      <c r="F9" s="13">
        <f t="shared" ca="1" si="0"/>
        <v>608.8010010448271</v>
      </c>
      <c r="G9" s="13">
        <f t="shared" ca="1" si="1"/>
        <v>574.95961023752795</v>
      </c>
      <c r="I9" s="14">
        <f t="shared" ca="1" si="5"/>
        <v>3</v>
      </c>
      <c r="J9" s="5">
        <f t="shared" ca="1" si="6"/>
        <v>574.95961023752795</v>
      </c>
      <c r="K9" s="5">
        <f t="shared" ca="1" si="7"/>
        <v>986.60061023752792</v>
      </c>
    </row>
    <row r="10" spans="1:11" x14ac:dyDescent="0.25">
      <c r="A10" s="2">
        <f t="shared" si="2"/>
        <v>8</v>
      </c>
      <c r="B10" s="3">
        <f t="shared" ca="1" si="3"/>
        <v>593.70410840685338</v>
      </c>
      <c r="C10" s="3">
        <v>75.180801000000002</v>
      </c>
      <c r="E10" s="13">
        <f t="shared" ca="1" si="4"/>
        <v>669.43928583993215</v>
      </c>
      <c r="F10" s="13">
        <f t="shared" ca="1" si="0"/>
        <v>608.8010010448271</v>
      </c>
      <c r="G10" s="13">
        <f t="shared" ca="1" si="1"/>
        <v>986.60061023752792</v>
      </c>
      <c r="I10" s="14">
        <f t="shared" ca="1" si="5"/>
        <v>2</v>
      </c>
      <c r="J10" s="5">
        <f t="shared" ca="1" si="6"/>
        <v>608.8010010448271</v>
      </c>
      <c r="K10" s="5">
        <f t="shared" ca="1" si="7"/>
        <v>683.98180204482708</v>
      </c>
    </row>
    <row r="11" spans="1:11" x14ac:dyDescent="0.25">
      <c r="A11" s="2">
        <f t="shared" si="2"/>
        <v>9</v>
      </c>
      <c r="B11" s="3">
        <f t="shared" ca="1" si="3"/>
        <v>618.34014447645268</v>
      </c>
      <c r="C11" s="3">
        <v>22.376514100000001</v>
      </c>
      <c r="E11" s="13">
        <f t="shared" ca="1" si="4"/>
        <v>669.43928583993215</v>
      </c>
      <c r="F11" s="13">
        <f t="shared" ca="1" si="0"/>
        <v>683.98180204482708</v>
      </c>
      <c r="G11" s="13">
        <f t="shared" ca="1" si="1"/>
        <v>986.60061023752792</v>
      </c>
      <c r="I11" s="14">
        <f t="shared" ca="1" si="5"/>
        <v>1</v>
      </c>
      <c r="J11" s="5">
        <f t="shared" ca="1" si="6"/>
        <v>669.43928583993215</v>
      </c>
      <c r="K11" s="5">
        <f t="shared" ca="1" si="7"/>
        <v>691.81579993993216</v>
      </c>
    </row>
    <row r="12" spans="1:11" x14ac:dyDescent="0.25">
      <c r="A12" s="2">
        <f t="shared" si="2"/>
        <v>10</v>
      </c>
      <c r="B12" s="3">
        <f t="shared" ca="1" si="3"/>
        <v>800.222061290081</v>
      </c>
      <c r="C12" s="3">
        <v>272.58316000000002</v>
      </c>
      <c r="E12" s="13">
        <f t="shared" ca="1" si="4"/>
        <v>691.81579993993216</v>
      </c>
      <c r="F12" s="13">
        <f t="shared" ca="1" si="0"/>
        <v>683.98180204482708</v>
      </c>
      <c r="G12" s="13">
        <f t="shared" ca="1" si="1"/>
        <v>986.60061023752792</v>
      </c>
      <c r="I12" s="14">
        <f t="shared" ca="1" si="5"/>
        <v>2</v>
      </c>
      <c r="J12" s="5">
        <f t="shared" ca="1" si="6"/>
        <v>800.222061290081</v>
      </c>
      <c r="K12" s="5">
        <f t="shared" ca="1" si="7"/>
        <v>1072.8052212900811</v>
      </c>
    </row>
    <row r="13" spans="1:11" x14ac:dyDescent="0.25">
      <c r="A13" s="2">
        <f t="shared" si="2"/>
        <v>11</v>
      </c>
      <c r="B13" s="3">
        <f t="shared" ca="1" si="3"/>
        <v>815.80497237313409</v>
      </c>
      <c r="C13" s="3">
        <v>132.21331000000001</v>
      </c>
      <c r="E13" s="13">
        <f t="shared" ca="1" si="4"/>
        <v>691.81579993993216</v>
      </c>
      <c r="F13" s="13">
        <f t="shared" ca="1" si="0"/>
        <v>1072.8052212900811</v>
      </c>
      <c r="G13" s="13">
        <f t="shared" ca="1" si="1"/>
        <v>986.60061023752792</v>
      </c>
      <c r="I13" s="14">
        <f t="shared" ca="1" si="5"/>
        <v>1</v>
      </c>
      <c r="J13" s="5">
        <f t="shared" ca="1" si="6"/>
        <v>815.80497237313409</v>
      </c>
      <c r="K13" s="5">
        <f t="shared" ca="1" si="7"/>
        <v>948.01828237313407</v>
      </c>
    </row>
    <row r="14" spans="1:11" x14ac:dyDescent="0.25">
      <c r="A14" s="2">
        <f t="shared" si="2"/>
        <v>12</v>
      </c>
      <c r="B14" s="3">
        <f t="shared" ca="1" si="3"/>
        <v>822.81040887148629</v>
      </c>
      <c r="C14" s="3">
        <v>123.17041999999999</v>
      </c>
      <c r="E14" s="13">
        <f t="shared" ca="1" si="4"/>
        <v>948.01828237313407</v>
      </c>
      <c r="F14" s="13">
        <f t="shared" ca="1" si="0"/>
        <v>1072.8052212900811</v>
      </c>
      <c r="G14" s="13">
        <f t="shared" ca="1" si="1"/>
        <v>986.60061023752792</v>
      </c>
      <c r="I14" s="14">
        <f t="shared" ca="1" si="5"/>
        <v>1</v>
      </c>
      <c r="J14" s="5">
        <f t="shared" ca="1" si="6"/>
        <v>948.01828237313407</v>
      </c>
      <c r="K14" s="5">
        <f t="shared" ca="1" si="7"/>
        <v>1071.188702373134</v>
      </c>
    </row>
    <row r="15" spans="1:11" x14ac:dyDescent="0.25">
      <c r="A15" s="2">
        <f t="shared" si="2"/>
        <v>13</v>
      </c>
      <c r="B15" s="3">
        <f t="shared" ca="1" si="3"/>
        <v>877.44861823349186</v>
      </c>
      <c r="C15" s="3">
        <v>237.05086</v>
      </c>
      <c r="E15" s="13">
        <f t="shared" ca="1" si="4"/>
        <v>1071.188702373134</v>
      </c>
      <c r="F15" s="13">
        <f t="shared" ca="1" si="0"/>
        <v>1072.8052212900811</v>
      </c>
      <c r="G15" s="13">
        <f t="shared" ca="1" si="1"/>
        <v>986.60061023752792</v>
      </c>
      <c r="I15" s="14">
        <f t="shared" ca="1" si="5"/>
        <v>3</v>
      </c>
      <c r="J15" s="5">
        <f t="shared" ca="1" si="6"/>
        <v>986.60061023752792</v>
      </c>
      <c r="K15" s="5">
        <f t="shared" ca="1" si="7"/>
        <v>1223.651470237528</v>
      </c>
    </row>
    <row r="16" spans="1:11" x14ac:dyDescent="0.25">
      <c r="A16" s="2">
        <f t="shared" si="2"/>
        <v>14</v>
      </c>
      <c r="B16" s="3">
        <f t="shared" ca="1" si="3"/>
        <v>919.20247026948232</v>
      </c>
      <c r="C16" s="3">
        <v>173.36738</v>
      </c>
      <c r="E16" s="13">
        <f t="shared" ca="1" si="4"/>
        <v>1071.188702373134</v>
      </c>
      <c r="F16" s="13">
        <f t="shared" ca="1" si="0"/>
        <v>1072.8052212900811</v>
      </c>
      <c r="G16" s="13">
        <f t="shared" ca="1" si="1"/>
        <v>1223.651470237528</v>
      </c>
      <c r="I16" s="14">
        <f t="shared" ca="1" si="5"/>
        <v>1</v>
      </c>
      <c r="J16" s="5">
        <f t="shared" ca="1" si="6"/>
        <v>1071.188702373134</v>
      </c>
      <c r="K16" s="5">
        <f t="shared" ca="1" si="7"/>
        <v>1244.5560823731339</v>
      </c>
    </row>
    <row r="17" spans="1:11" x14ac:dyDescent="0.25">
      <c r="A17" s="2">
        <f t="shared" si="2"/>
        <v>15</v>
      </c>
      <c r="B17" s="3">
        <f t="shared" ca="1" si="3"/>
        <v>936.64884382890841</v>
      </c>
      <c r="C17" s="3">
        <v>102.20851999999999</v>
      </c>
      <c r="E17" s="13">
        <f t="shared" ca="1" si="4"/>
        <v>1244.5560823731339</v>
      </c>
      <c r="F17" s="13">
        <f t="shared" ca="1" si="0"/>
        <v>1072.8052212900811</v>
      </c>
      <c r="G17" s="13">
        <f t="shared" ca="1" si="1"/>
        <v>1223.651470237528</v>
      </c>
      <c r="I17" s="14">
        <f t="shared" ca="1" si="5"/>
        <v>2</v>
      </c>
      <c r="J17" s="5">
        <f t="shared" ca="1" si="6"/>
        <v>1072.8052212900811</v>
      </c>
      <c r="K17" s="5">
        <f t="shared" ca="1" si="7"/>
        <v>1175.013741290081</v>
      </c>
    </row>
    <row r="18" spans="1:11" x14ac:dyDescent="0.25">
      <c r="A18" s="2">
        <f t="shared" si="2"/>
        <v>16</v>
      </c>
      <c r="B18" s="3">
        <f t="shared" ca="1" si="3"/>
        <v>1137.4588196397044</v>
      </c>
      <c r="C18" s="3">
        <v>272.70830999999998</v>
      </c>
      <c r="E18" s="13">
        <f t="shared" ca="1" si="4"/>
        <v>1244.5560823731339</v>
      </c>
      <c r="F18" s="13">
        <f t="shared" ca="1" si="0"/>
        <v>1175.013741290081</v>
      </c>
      <c r="G18" s="13">
        <f t="shared" ca="1" si="1"/>
        <v>1223.651470237528</v>
      </c>
      <c r="I18" s="14">
        <f t="shared" ca="1" si="5"/>
        <v>2</v>
      </c>
      <c r="J18" s="5">
        <f t="shared" ca="1" si="6"/>
        <v>1175.013741290081</v>
      </c>
      <c r="K18" s="5">
        <f t="shared" ca="1" si="7"/>
        <v>1447.722051290081</v>
      </c>
    </row>
    <row r="19" spans="1:11" x14ac:dyDescent="0.25">
      <c r="A19" s="2">
        <f t="shared" si="2"/>
        <v>17</v>
      </c>
      <c r="B19" s="3">
        <f t="shared" ca="1" si="3"/>
        <v>1218.7160772664336</v>
      </c>
      <c r="C19" s="3">
        <v>172.77049</v>
      </c>
      <c r="E19" s="13">
        <f t="shared" ca="1" si="4"/>
        <v>1244.5560823731339</v>
      </c>
      <c r="F19" s="13">
        <f t="shared" ca="1" si="0"/>
        <v>1447.722051290081</v>
      </c>
      <c r="G19" s="13">
        <f t="shared" ca="1" si="1"/>
        <v>1223.651470237528</v>
      </c>
      <c r="I19" s="14">
        <f t="shared" ca="1" si="5"/>
        <v>3</v>
      </c>
      <c r="J19" s="5">
        <f t="shared" ca="1" si="6"/>
        <v>1223.651470237528</v>
      </c>
      <c r="K19" s="5">
        <f t="shared" ca="1" si="7"/>
        <v>1396.4219602375279</v>
      </c>
    </row>
    <row r="20" spans="1:11" x14ac:dyDescent="0.25">
      <c r="A20" s="2">
        <f t="shared" si="2"/>
        <v>18</v>
      </c>
      <c r="B20" s="3">
        <f t="shared" ca="1" si="3"/>
        <v>1369.4387982768299</v>
      </c>
      <c r="C20" s="3">
        <v>184.48023000000001</v>
      </c>
      <c r="E20" s="13">
        <f t="shared" ca="1" si="4"/>
        <v>1244.5560823731339</v>
      </c>
      <c r="F20" s="13">
        <f t="shared" ca="1" si="0"/>
        <v>1447.722051290081</v>
      </c>
      <c r="G20" s="13">
        <f t="shared" ca="1" si="1"/>
        <v>1396.4219602375279</v>
      </c>
      <c r="I20" s="14">
        <f t="shared" ca="1" si="5"/>
        <v>1</v>
      </c>
      <c r="J20" s="5">
        <f t="shared" ca="1" si="6"/>
        <v>1369.4387982768299</v>
      </c>
      <c r="K20" s="5">
        <f t="shared" ca="1" si="7"/>
        <v>1553.91902827683</v>
      </c>
    </row>
    <row r="21" spans="1:11" x14ac:dyDescent="0.25">
      <c r="A21" s="2">
        <f t="shared" si="2"/>
        <v>19</v>
      </c>
      <c r="B21" s="3">
        <f t="shared" ca="1" si="3"/>
        <v>1393.2684867591579</v>
      </c>
      <c r="C21" s="3">
        <v>229.14686</v>
      </c>
      <c r="E21" s="13">
        <f t="shared" ca="1" si="4"/>
        <v>1553.91902827683</v>
      </c>
      <c r="F21" s="13">
        <f t="shared" ca="1" si="0"/>
        <v>1447.722051290081</v>
      </c>
      <c r="G21" s="13">
        <f t="shared" ca="1" si="1"/>
        <v>1396.4219602375279</v>
      </c>
      <c r="I21" s="14">
        <f t="shared" ca="1" si="5"/>
        <v>3</v>
      </c>
      <c r="J21" s="5">
        <f t="shared" ca="1" si="6"/>
        <v>1396.4219602375279</v>
      </c>
      <c r="K21" s="5">
        <f t="shared" ca="1" si="7"/>
        <v>1625.5688202375279</v>
      </c>
    </row>
    <row r="22" spans="1:11" x14ac:dyDescent="0.25">
      <c r="A22" s="2">
        <f t="shared" si="2"/>
        <v>20</v>
      </c>
      <c r="B22" s="3">
        <f t="shared" ca="1" si="3"/>
        <v>1394.6347257144175</v>
      </c>
      <c r="C22" s="3">
        <v>392.29338999999999</v>
      </c>
      <c r="E22" s="13">
        <f t="shared" ca="1" si="4"/>
        <v>1553.91902827683</v>
      </c>
      <c r="F22" s="13">
        <f t="shared" ca="1" si="0"/>
        <v>1447.722051290081</v>
      </c>
      <c r="G22" s="13">
        <f t="shared" ca="1" si="1"/>
        <v>1625.5688202375279</v>
      </c>
      <c r="I22" s="14">
        <f t="shared" ca="1" si="5"/>
        <v>2</v>
      </c>
      <c r="J22" s="5">
        <f t="shared" ca="1" si="6"/>
        <v>1447.722051290081</v>
      </c>
      <c r="K22" s="5">
        <f t="shared" ca="1" si="7"/>
        <v>1840.0154412900811</v>
      </c>
    </row>
    <row r="23" spans="1:11" x14ac:dyDescent="0.25">
      <c r="A23" s="2">
        <f t="shared" si="2"/>
        <v>21</v>
      </c>
      <c r="B23" s="3">
        <f t="shared" ca="1" si="3"/>
        <v>1431.2831501020614</v>
      </c>
      <c r="C23" s="3">
        <v>439.94227999999998</v>
      </c>
      <c r="E23" s="13">
        <f t="shared" ca="1" si="4"/>
        <v>1553.91902827683</v>
      </c>
      <c r="F23" s="13">
        <f t="shared" ca="1" si="0"/>
        <v>1840.0154412900811</v>
      </c>
      <c r="G23" s="13">
        <f t="shared" ca="1" si="1"/>
        <v>1625.5688202375279</v>
      </c>
      <c r="I23" s="14">
        <f t="shared" ca="1" si="5"/>
        <v>1</v>
      </c>
      <c r="J23" s="5">
        <f t="shared" ca="1" si="6"/>
        <v>1553.91902827683</v>
      </c>
      <c r="K23" s="5">
        <f t="shared" ca="1" si="7"/>
        <v>1993.86130827683</v>
      </c>
    </row>
    <row r="24" spans="1:11" x14ac:dyDescent="0.25">
      <c r="A24" s="2">
        <f t="shared" si="2"/>
        <v>22</v>
      </c>
      <c r="B24" s="3">
        <f t="shared" ca="1" si="3"/>
        <v>1565.1037869058239</v>
      </c>
      <c r="C24" s="3">
        <v>161.2921</v>
      </c>
      <c r="E24" s="13">
        <f t="shared" ca="1" si="4"/>
        <v>1993.86130827683</v>
      </c>
      <c r="F24" s="13">
        <f t="shared" ca="1" si="0"/>
        <v>1840.0154412900811</v>
      </c>
      <c r="G24" s="13">
        <f t="shared" ca="1" si="1"/>
        <v>1625.5688202375279</v>
      </c>
      <c r="I24" s="14">
        <f t="shared" ca="1" si="5"/>
        <v>3</v>
      </c>
      <c r="J24" s="5">
        <f t="shared" ca="1" si="6"/>
        <v>1625.5688202375279</v>
      </c>
      <c r="K24" s="5">
        <f t="shared" ca="1" si="7"/>
        <v>1786.8609202375278</v>
      </c>
    </row>
    <row r="25" spans="1:11" x14ac:dyDescent="0.25">
      <c r="A25" s="2">
        <f t="shared" si="2"/>
        <v>23</v>
      </c>
      <c r="B25" s="3">
        <f t="shared" ca="1" si="3"/>
        <v>1574.1412669765141</v>
      </c>
      <c r="C25" s="3">
        <v>47.018526000000001</v>
      </c>
      <c r="E25" s="13">
        <f t="shared" ca="1" si="4"/>
        <v>1993.86130827683</v>
      </c>
      <c r="F25" s="13">
        <f t="shared" ca="1" si="0"/>
        <v>1840.0154412900811</v>
      </c>
      <c r="G25" s="13">
        <f t="shared" ca="1" si="1"/>
        <v>1786.8609202375278</v>
      </c>
      <c r="I25" s="14">
        <f t="shared" ca="1" si="5"/>
        <v>3</v>
      </c>
      <c r="J25" s="5">
        <f t="shared" ca="1" si="6"/>
        <v>1786.8609202375278</v>
      </c>
      <c r="K25" s="5">
        <f t="shared" ca="1" si="7"/>
        <v>1833.8794462375279</v>
      </c>
    </row>
    <row r="26" spans="1:11" x14ac:dyDescent="0.25">
      <c r="A26" s="2">
        <f t="shared" si="2"/>
        <v>24</v>
      </c>
      <c r="B26" s="3">
        <f t="shared" ca="1" si="3"/>
        <v>1598.7169721248099</v>
      </c>
      <c r="C26" s="3">
        <v>57.952455</v>
      </c>
      <c r="E26" s="13">
        <f t="shared" ca="1" si="4"/>
        <v>1993.86130827683</v>
      </c>
      <c r="F26" s="13">
        <f t="shared" ca="1" si="0"/>
        <v>1840.0154412900811</v>
      </c>
      <c r="G26" s="13">
        <f t="shared" ca="1" si="1"/>
        <v>1833.8794462375279</v>
      </c>
      <c r="I26" s="14">
        <f t="shared" ca="1" si="5"/>
        <v>3</v>
      </c>
      <c r="J26" s="5">
        <f t="shared" ca="1" si="6"/>
        <v>1833.8794462375279</v>
      </c>
      <c r="K26" s="5">
        <f t="shared" ca="1" si="7"/>
        <v>1891.831901237528</v>
      </c>
    </row>
    <row r="27" spans="1:11" x14ac:dyDescent="0.25">
      <c r="A27" s="2">
        <f t="shared" si="2"/>
        <v>25</v>
      </c>
      <c r="B27" s="3">
        <f t="shared" ca="1" si="3"/>
        <v>1670.8383335968754</v>
      </c>
      <c r="C27" s="3">
        <v>559.20405000000005</v>
      </c>
      <c r="E27" s="13">
        <f t="shared" ca="1" si="4"/>
        <v>1993.86130827683</v>
      </c>
      <c r="F27" s="13">
        <f t="shared" ca="1" si="0"/>
        <v>1840.0154412900811</v>
      </c>
      <c r="G27" s="13">
        <f t="shared" ca="1" si="1"/>
        <v>1891.831901237528</v>
      </c>
      <c r="I27" s="14">
        <f t="shared" ca="1" si="5"/>
        <v>2</v>
      </c>
      <c r="J27" s="5">
        <f t="shared" ca="1" si="6"/>
        <v>1840.0154412900811</v>
      </c>
      <c r="K27" s="5">
        <f t="shared" ca="1" si="7"/>
        <v>2399.2194912900814</v>
      </c>
    </row>
    <row r="28" spans="1:11" x14ac:dyDescent="0.25">
      <c r="A28" s="2">
        <f t="shared" si="2"/>
        <v>26</v>
      </c>
      <c r="B28" s="3">
        <f t="shared" ca="1" si="3"/>
        <v>1671.1607466444661</v>
      </c>
      <c r="C28" s="3">
        <v>32.726502000000004</v>
      </c>
      <c r="E28" s="13">
        <f t="shared" ca="1" si="4"/>
        <v>1993.86130827683</v>
      </c>
      <c r="F28" s="13">
        <f t="shared" ca="1" si="0"/>
        <v>2399.2194912900814</v>
      </c>
      <c r="G28" s="13">
        <f t="shared" ca="1" si="1"/>
        <v>1891.831901237528</v>
      </c>
      <c r="I28" s="14">
        <f t="shared" ca="1" si="5"/>
        <v>3</v>
      </c>
      <c r="J28" s="5">
        <f t="shared" ca="1" si="6"/>
        <v>1891.831901237528</v>
      </c>
      <c r="K28" s="5">
        <f t="shared" ca="1" si="7"/>
        <v>1924.558403237528</v>
      </c>
    </row>
    <row r="29" spans="1:11" x14ac:dyDescent="0.25">
      <c r="A29" s="2">
        <f t="shared" si="2"/>
        <v>27</v>
      </c>
      <c r="B29" s="3">
        <f t="shared" ca="1" si="3"/>
        <v>1720.2979703130495</v>
      </c>
      <c r="C29" s="3">
        <v>180.649</v>
      </c>
      <c r="E29" s="13">
        <f t="shared" ca="1" si="4"/>
        <v>1993.86130827683</v>
      </c>
      <c r="F29" s="13">
        <f t="shared" ca="1" si="0"/>
        <v>2399.2194912900814</v>
      </c>
      <c r="G29" s="13">
        <f t="shared" ca="1" si="1"/>
        <v>1924.558403237528</v>
      </c>
      <c r="I29" s="14">
        <f t="shared" ca="1" si="5"/>
        <v>3</v>
      </c>
      <c r="J29" s="5">
        <f t="shared" ca="1" si="6"/>
        <v>1924.558403237528</v>
      </c>
      <c r="K29" s="5">
        <f t="shared" ca="1" si="7"/>
        <v>2105.2074032375281</v>
      </c>
    </row>
    <row r="30" spans="1:11" x14ac:dyDescent="0.25">
      <c r="A30" s="2">
        <f t="shared" si="2"/>
        <v>28</v>
      </c>
      <c r="B30" s="3">
        <f t="shared" ca="1" si="3"/>
        <v>1808.6800971386083</v>
      </c>
      <c r="C30" s="3">
        <v>75.356008000000003</v>
      </c>
      <c r="E30" s="13">
        <f t="shared" ca="1" si="4"/>
        <v>1993.86130827683</v>
      </c>
      <c r="F30" s="13">
        <f t="shared" ca="1" si="0"/>
        <v>2399.2194912900814</v>
      </c>
      <c r="G30" s="13">
        <f t="shared" ca="1" si="1"/>
        <v>2105.2074032375281</v>
      </c>
      <c r="I30" s="14">
        <f t="shared" ca="1" si="5"/>
        <v>1</v>
      </c>
      <c r="J30" s="5">
        <f t="shared" ca="1" si="6"/>
        <v>1993.86130827683</v>
      </c>
      <c r="K30" s="5">
        <f t="shared" ca="1" si="7"/>
        <v>2069.2173162768299</v>
      </c>
    </row>
    <row r="31" spans="1:11" x14ac:dyDescent="0.25">
      <c r="A31" s="2">
        <f t="shared" si="2"/>
        <v>29</v>
      </c>
      <c r="B31" s="3">
        <f t="shared" ca="1" si="3"/>
        <v>1818.8863540701511</v>
      </c>
      <c r="C31" s="3">
        <v>80.228492000000003</v>
      </c>
      <c r="E31" s="13">
        <f t="shared" ca="1" si="4"/>
        <v>2069.2173162768299</v>
      </c>
      <c r="F31" s="13">
        <f t="shared" ca="1" si="0"/>
        <v>2399.2194912900814</v>
      </c>
      <c r="G31" s="13">
        <f t="shared" ca="1" si="1"/>
        <v>2105.2074032375281</v>
      </c>
      <c r="I31" s="14">
        <f t="shared" ca="1" si="5"/>
        <v>1</v>
      </c>
      <c r="J31" s="5">
        <f t="shared" ca="1" si="6"/>
        <v>2069.2173162768299</v>
      </c>
      <c r="K31" s="5">
        <f t="shared" ca="1" si="7"/>
        <v>2149.4458082768301</v>
      </c>
    </row>
    <row r="32" spans="1:11" x14ac:dyDescent="0.25">
      <c r="A32" s="2">
        <f t="shared" si="2"/>
        <v>30</v>
      </c>
      <c r="B32" s="3">
        <f t="shared" ca="1" si="3"/>
        <v>1853.6101017040369</v>
      </c>
      <c r="C32" s="3">
        <v>78.126105999999993</v>
      </c>
      <c r="E32" s="13">
        <f t="shared" ca="1" si="4"/>
        <v>2149.4458082768301</v>
      </c>
      <c r="F32" s="13">
        <f t="shared" ca="1" si="0"/>
        <v>2399.2194912900814</v>
      </c>
      <c r="G32" s="13">
        <f t="shared" ca="1" si="1"/>
        <v>2105.2074032375281</v>
      </c>
      <c r="I32" s="14">
        <f t="shared" ca="1" si="5"/>
        <v>3</v>
      </c>
      <c r="J32" s="5">
        <f t="shared" ca="1" si="6"/>
        <v>2105.2074032375281</v>
      </c>
      <c r="K32" s="5">
        <f t="shared" ca="1" si="7"/>
        <v>2183.3335092375282</v>
      </c>
    </row>
    <row r="33" spans="1:11" x14ac:dyDescent="0.25">
      <c r="A33" s="2">
        <f t="shared" si="2"/>
        <v>31</v>
      </c>
      <c r="B33" s="3">
        <f t="shared" ca="1" si="3"/>
        <v>1853.7452673664357</v>
      </c>
      <c r="C33" s="3">
        <v>100.19193</v>
      </c>
      <c r="E33" s="13">
        <f t="shared" ca="1" si="4"/>
        <v>2149.4458082768301</v>
      </c>
      <c r="F33" s="13">
        <f t="shared" ca="1" si="0"/>
        <v>2399.2194912900814</v>
      </c>
      <c r="G33" s="13">
        <f t="shared" ca="1" si="1"/>
        <v>2183.3335092375282</v>
      </c>
      <c r="I33" s="14">
        <f t="shared" ca="1" si="5"/>
        <v>1</v>
      </c>
      <c r="J33" s="5">
        <f t="shared" ca="1" si="6"/>
        <v>2149.4458082768301</v>
      </c>
      <c r="K33" s="5">
        <f t="shared" ca="1" si="7"/>
        <v>2249.6377382768301</v>
      </c>
    </row>
    <row r="34" spans="1:11" x14ac:dyDescent="0.25">
      <c r="A34" s="2">
        <f t="shared" si="2"/>
        <v>32</v>
      </c>
      <c r="B34" s="3">
        <f t="shared" ca="1" si="3"/>
        <v>1974.1877995965515</v>
      </c>
      <c r="C34" s="3">
        <v>47.423839999999998</v>
      </c>
      <c r="E34" s="13">
        <f t="shared" ca="1" si="4"/>
        <v>2249.6377382768301</v>
      </c>
      <c r="F34" s="13">
        <f t="shared" ca="1" si="0"/>
        <v>2399.2194912900814</v>
      </c>
      <c r="G34" s="13">
        <f t="shared" ca="1" si="1"/>
        <v>2183.3335092375282</v>
      </c>
      <c r="I34" s="14">
        <f t="shared" ca="1" si="5"/>
        <v>3</v>
      </c>
      <c r="J34" s="5">
        <f t="shared" ca="1" si="6"/>
        <v>2183.3335092375282</v>
      </c>
      <c r="K34" s="5">
        <f t="shared" ca="1" si="7"/>
        <v>2230.7573492375282</v>
      </c>
    </row>
    <row r="35" spans="1:11" x14ac:dyDescent="0.25">
      <c r="A35" s="2">
        <f t="shared" si="2"/>
        <v>33</v>
      </c>
      <c r="B35" s="3">
        <f t="shared" ca="1" si="3"/>
        <v>2054.1614045230467</v>
      </c>
      <c r="C35" s="3">
        <v>45.268006</v>
      </c>
      <c r="E35" s="13">
        <f t="shared" ca="1" si="4"/>
        <v>2249.6377382768301</v>
      </c>
      <c r="F35" s="13">
        <f t="shared" ca="1" si="0"/>
        <v>2399.2194912900814</v>
      </c>
      <c r="G35" s="13">
        <f t="shared" ca="1" si="1"/>
        <v>2230.7573492375282</v>
      </c>
      <c r="I35" s="14">
        <f t="shared" ca="1" si="5"/>
        <v>3</v>
      </c>
      <c r="J35" s="5">
        <f t="shared" ca="1" si="6"/>
        <v>2230.7573492375282</v>
      </c>
      <c r="K35" s="5">
        <f t="shared" ca="1" si="7"/>
        <v>2276.0253552375279</v>
      </c>
    </row>
    <row r="36" spans="1:11" x14ac:dyDescent="0.25">
      <c r="A36" s="2">
        <f t="shared" si="2"/>
        <v>34</v>
      </c>
      <c r="B36" s="3">
        <f t="shared" ca="1" si="3"/>
        <v>2061.7024054905214</v>
      </c>
      <c r="C36" s="3">
        <v>46.307659999999998</v>
      </c>
      <c r="E36" s="13">
        <f t="shared" ca="1" si="4"/>
        <v>2249.6377382768301</v>
      </c>
      <c r="F36" s="13">
        <f t="shared" ca="1" si="0"/>
        <v>2399.2194912900814</v>
      </c>
      <c r="G36" s="13">
        <f t="shared" ca="1" si="1"/>
        <v>2276.0253552375279</v>
      </c>
      <c r="I36" s="14">
        <f t="shared" ca="1" si="5"/>
        <v>1</v>
      </c>
      <c r="J36" s="5">
        <f t="shared" ca="1" si="6"/>
        <v>2249.6377382768301</v>
      </c>
      <c r="K36" s="5">
        <f t="shared" ca="1" si="7"/>
        <v>2295.94539827683</v>
      </c>
    </row>
    <row r="37" spans="1:11" x14ac:dyDescent="0.25">
      <c r="A37" s="2">
        <f t="shared" si="2"/>
        <v>35</v>
      </c>
      <c r="B37" s="3">
        <f t="shared" ca="1" si="3"/>
        <v>2071.7894476238175</v>
      </c>
      <c r="C37" s="3">
        <v>63.315978000000001</v>
      </c>
      <c r="E37" s="13">
        <f t="shared" ca="1" si="4"/>
        <v>2295.94539827683</v>
      </c>
      <c r="F37" s="13">
        <f t="shared" ca="1" si="0"/>
        <v>2399.2194912900814</v>
      </c>
      <c r="G37" s="13">
        <f t="shared" ca="1" si="1"/>
        <v>2276.0253552375279</v>
      </c>
      <c r="I37" s="14">
        <f t="shared" ca="1" si="5"/>
        <v>3</v>
      </c>
      <c r="J37" s="5">
        <f t="shared" ca="1" si="6"/>
        <v>2276.0253552375279</v>
      </c>
      <c r="K37" s="5">
        <f t="shared" ca="1" si="7"/>
        <v>2339.341333237528</v>
      </c>
    </row>
    <row r="38" spans="1:11" x14ac:dyDescent="0.25">
      <c r="A38" s="2">
        <f t="shared" si="2"/>
        <v>36</v>
      </c>
      <c r="B38" s="3">
        <f t="shared" ca="1" si="3"/>
        <v>2105.5116681611285</v>
      </c>
      <c r="C38" s="3">
        <v>460.97246999999999</v>
      </c>
      <c r="E38" s="13">
        <f t="shared" ca="1" si="4"/>
        <v>2295.94539827683</v>
      </c>
      <c r="F38" s="13">
        <f t="shared" ca="1" si="0"/>
        <v>2399.2194912900814</v>
      </c>
      <c r="G38" s="13">
        <f t="shared" ca="1" si="1"/>
        <v>2339.341333237528</v>
      </c>
      <c r="I38" s="14">
        <f t="shared" ca="1" si="5"/>
        <v>1</v>
      </c>
      <c r="J38" s="5">
        <f t="shared" ca="1" si="6"/>
        <v>2295.94539827683</v>
      </c>
      <c r="K38" s="5">
        <f t="shared" ca="1" si="7"/>
        <v>2756.9178682768302</v>
      </c>
    </row>
    <row r="39" spans="1:11" x14ac:dyDescent="0.25">
      <c r="A39" s="2">
        <f t="shared" si="2"/>
        <v>37</v>
      </c>
      <c r="B39" s="3">
        <f t="shared" ca="1" si="3"/>
        <v>2135.819580767326</v>
      </c>
      <c r="C39" s="3">
        <v>26.456391400000001</v>
      </c>
      <c r="E39" s="13">
        <f t="shared" ca="1" si="4"/>
        <v>2756.9178682768302</v>
      </c>
      <c r="F39" s="13">
        <f t="shared" ca="1" si="0"/>
        <v>2399.2194912900814</v>
      </c>
      <c r="G39" s="13">
        <f t="shared" ca="1" si="1"/>
        <v>2339.341333237528</v>
      </c>
      <c r="I39" s="14">
        <f t="shared" ca="1" si="5"/>
        <v>3</v>
      </c>
      <c r="J39" s="5">
        <f t="shared" ca="1" si="6"/>
        <v>2339.341333237528</v>
      </c>
      <c r="K39" s="5">
        <f t="shared" ca="1" si="7"/>
        <v>2365.7977246375281</v>
      </c>
    </row>
    <row r="40" spans="1:11" x14ac:dyDescent="0.25">
      <c r="A40" s="2">
        <f t="shared" si="2"/>
        <v>38</v>
      </c>
      <c r="B40" s="3">
        <f t="shared" ca="1" si="3"/>
        <v>2179.5760932337162</v>
      </c>
      <c r="C40" s="3">
        <v>37.067129999999999</v>
      </c>
      <c r="E40" s="13">
        <f t="shared" ca="1" si="4"/>
        <v>2756.9178682768302</v>
      </c>
      <c r="F40" s="13">
        <f t="shared" ca="1" si="0"/>
        <v>2399.2194912900814</v>
      </c>
      <c r="G40" s="13">
        <f t="shared" ca="1" si="1"/>
        <v>2365.7977246375281</v>
      </c>
      <c r="I40" s="14">
        <f t="shared" ca="1" si="5"/>
        <v>3</v>
      </c>
      <c r="J40" s="5">
        <f t="shared" ca="1" si="6"/>
        <v>2365.7977246375281</v>
      </c>
      <c r="K40" s="5">
        <f t="shared" ca="1" si="7"/>
        <v>2402.864854637528</v>
      </c>
    </row>
    <row r="41" spans="1:11" x14ac:dyDescent="0.25">
      <c r="A41" s="2">
        <f t="shared" si="2"/>
        <v>39</v>
      </c>
      <c r="B41" s="3">
        <f t="shared" ca="1" si="3"/>
        <v>2201.330882254611</v>
      </c>
      <c r="C41" s="3">
        <v>154.32476</v>
      </c>
      <c r="E41" s="13">
        <f t="shared" ca="1" si="4"/>
        <v>2756.9178682768302</v>
      </c>
      <c r="F41" s="13">
        <f t="shared" ca="1" si="0"/>
        <v>2399.2194912900814</v>
      </c>
      <c r="G41" s="13">
        <f t="shared" ca="1" si="1"/>
        <v>2402.864854637528</v>
      </c>
      <c r="I41" s="14">
        <f t="shared" ca="1" si="5"/>
        <v>2</v>
      </c>
      <c r="J41" s="5">
        <f t="shared" ca="1" si="6"/>
        <v>2399.2194912900814</v>
      </c>
      <c r="K41" s="5">
        <f t="shared" ca="1" si="7"/>
        <v>2553.5442512900813</v>
      </c>
    </row>
    <row r="42" spans="1:11" x14ac:dyDescent="0.25">
      <c r="A42" s="2">
        <f t="shared" si="2"/>
        <v>40</v>
      </c>
      <c r="B42" s="3">
        <f t="shared" ca="1" si="3"/>
        <v>2205.5410771193024</v>
      </c>
      <c r="C42" s="3">
        <v>123.27800000000001</v>
      </c>
      <c r="E42" s="13">
        <f t="shared" ca="1" si="4"/>
        <v>2756.9178682768302</v>
      </c>
      <c r="F42" s="13">
        <f t="shared" ca="1" si="0"/>
        <v>2553.5442512900813</v>
      </c>
      <c r="G42" s="13">
        <f t="shared" ca="1" si="1"/>
        <v>2402.864854637528</v>
      </c>
      <c r="I42" s="14">
        <f t="shared" ca="1" si="5"/>
        <v>3</v>
      </c>
      <c r="J42" s="5">
        <f t="shared" ca="1" si="6"/>
        <v>2402.864854637528</v>
      </c>
      <c r="K42" s="5">
        <f t="shared" ca="1" si="7"/>
        <v>2526.1428546375278</v>
      </c>
    </row>
    <row r="43" spans="1:11" x14ac:dyDescent="0.25">
      <c r="A43" s="2">
        <f t="shared" si="2"/>
        <v>41</v>
      </c>
      <c r="B43" s="3">
        <f t="shared" ca="1" si="3"/>
        <v>2226.7705416937279</v>
      </c>
      <c r="C43" s="3">
        <v>331.51844</v>
      </c>
      <c r="E43" s="13">
        <f t="shared" ca="1" si="4"/>
        <v>2756.9178682768302</v>
      </c>
      <c r="F43" s="13">
        <f t="shared" ca="1" si="0"/>
        <v>2553.5442512900813</v>
      </c>
      <c r="G43" s="13">
        <f t="shared" ca="1" si="1"/>
        <v>2526.1428546375278</v>
      </c>
      <c r="I43" s="14">
        <f t="shared" ca="1" si="5"/>
        <v>3</v>
      </c>
      <c r="J43" s="5">
        <f t="shared" ca="1" si="6"/>
        <v>2526.1428546375278</v>
      </c>
      <c r="K43" s="5">
        <f t="shared" ca="1" si="7"/>
        <v>2857.6612946375276</v>
      </c>
    </row>
    <row r="44" spans="1:11" x14ac:dyDescent="0.25">
      <c r="A44" s="2">
        <f t="shared" si="2"/>
        <v>42</v>
      </c>
      <c r="B44" s="3">
        <f t="shared" ca="1" si="3"/>
        <v>2229.2964238011732</v>
      </c>
      <c r="C44" s="3">
        <v>432.98739999999998</v>
      </c>
      <c r="E44" s="13">
        <f t="shared" ca="1" si="4"/>
        <v>2756.9178682768302</v>
      </c>
      <c r="F44" s="13">
        <f t="shared" ca="1" si="0"/>
        <v>2553.5442512900813</v>
      </c>
      <c r="G44" s="13">
        <f t="shared" ca="1" si="1"/>
        <v>2857.6612946375276</v>
      </c>
      <c r="I44" s="14">
        <f t="shared" ca="1" si="5"/>
        <v>2</v>
      </c>
      <c r="J44" s="5">
        <f t="shared" ca="1" si="6"/>
        <v>2553.5442512900813</v>
      </c>
      <c r="K44" s="5">
        <f t="shared" ca="1" si="7"/>
        <v>2986.5316512900813</v>
      </c>
    </row>
    <row r="45" spans="1:11" x14ac:dyDescent="0.25">
      <c r="A45" s="2">
        <f t="shared" si="2"/>
        <v>43</v>
      </c>
      <c r="B45" s="3">
        <f t="shared" ca="1" si="3"/>
        <v>2327.3080613486095</v>
      </c>
      <c r="C45" s="3">
        <v>74.856371999999993</v>
      </c>
      <c r="E45" s="13">
        <f t="shared" ca="1" si="4"/>
        <v>2756.9178682768302</v>
      </c>
      <c r="F45" s="13">
        <f t="shared" ca="1" si="0"/>
        <v>2986.5316512900813</v>
      </c>
      <c r="G45" s="13">
        <f t="shared" ca="1" si="1"/>
        <v>2857.6612946375276</v>
      </c>
      <c r="I45" s="14">
        <f t="shared" ca="1" si="5"/>
        <v>1</v>
      </c>
      <c r="J45" s="5">
        <f t="shared" ca="1" si="6"/>
        <v>2756.9178682768302</v>
      </c>
      <c r="K45" s="5">
        <f t="shared" ca="1" si="7"/>
        <v>2831.7742402768304</v>
      </c>
    </row>
    <row r="46" spans="1:11" x14ac:dyDescent="0.25">
      <c r="A46" s="2">
        <f t="shared" si="2"/>
        <v>44</v>
      </c>
      <c r="B46" s="3">
        <f t="shared" ca="1" si="3"/>
        <v>2327.3390239581749</v>
      </c>
      <c r="C46" s="3">
        <v>101.00202</v>
      </c>
      <c r="E46" s="13">
        <f t="shared" ca="1" si="4"/>
        <v>2831.7742402768304</v>
      </c>
      <c r="F46" s="13">
        <f t="shared" ca="1" si="0"/>
        <v>2986.5316512900813</v>
      </c>
      <c r="G46" s="13">
        <f t="shared" ca="1" si="1"/>
        <v>2857.6612946375276</v>
      </c>
      <c r="I46" s="14">
        <f t="shared" ca="1" si="5"/>
        <v>1</v>
      </c>
      <c r="J46" s="5">
        <f t="shared" ca="1" si="6"/>
        <v>2831.7742402768304</v>
      </c>
      <c r="K46" s="5">
        <f t="shared" ca="1" si="7"/>
        <v>2932.7762602768303</v>
      </c>
    </row>
    <row r="47" spans="1:11" x14ac:dyDescent="0.25">
      <c r="A47" s="2">
        <f t="shared" si="2"/>
        <v>45</v>
      </c>
      <c r="B47" s="3">
        <f t="shared" ca="1" si="3"/>
        <v>2465.4377790449926</v>
      </c>
      <c r="C47" s="3">
        <v>75.396112000000002</v>
      </c>
      <c r="E47" s="13">
        <f t="shared" ca="1" si="4"/>
        <v>2932.7762602768303</v>
      </c>
      <c r="F47" s="13">
        <f t="shared" ca="1" si="0"/>
        <v>2986.5316512900813</v>
      </c>
      <c r="G47" s="13">
        <f t="shared" ca="1" si="1"/>
        <v>2857.6612946375276</v>
      </c>
      <c r="I47" s="14">
        <f t="shared" ca="1" si="5"/>
        <v>3</v>
      </c>
      <c r="J47" s="5">
        <f t="shared" ca="1" si="6"/>
        <v>2857.6612946375276</v>
      </c>
      <c r="K47" s="5">
        <f t="shared" ca="1" si="7"/>
        <v>2933.0574066375275</v>
      </c>
    </row>
    <row r="48" spans="1:11" x14ac:dyDescent="0.25">
      <c r="A48" s="2">
        <f t="shared" si="2"/>
        <v>46</v>
      </c>
      <c r="B48" s="3">
        <f t="shared" ca="1" si="3"/>
        <v>2565.6554248875823</v>
      </c>
      <c r="C48" s="3">
        <v>15.516999</v>
      </c>
      <c r="E48" s="13">
        <f t="shared" ca="1" si="4"/>
        <v>2932.7762602768303</v>
      </c>
      <c r="F48" s="13">
        <f t="shared" ca="1" si="0"/>
        <v>2986.5316512900813</v>
      </c>
      <c r="G48" s="13">
        <f t="shared" ca="1" si="1"/>
        <v>2933.0574066375275</v>
      </c>
      <c r="I48" s="14">
        <f t="shared" ca="1" si="5"/>
        <v>1</v>
      </c>
      <c r="J48" s="5">
        <f t="shared" ca="1" si="6"/>
        <v>2932.7762602768303</v>
      </c>
      <c r="K48" s="5">
        <f t="shared" ca="1" si="7"/>
        <v>2948.2932592768302</v>
      </c>
    </row>
    <row r="49" spans="1:11" x14ac:dyDescent="0.25">
      <c r="A49" s="2">
        <f t="shared" si="2"/>
        <v>47</v>
      </c>
      <c r="B49" s="3">
        <f t="shared" ca="1" si="3"/>
        <v>2605.191616189556</v>
      </c>
      <c r="C49" s="3">
        <v>68.631000999999998</v>
      </c>
      <c r="E49" s="13">
        <f t="shared" ca="1" si="4"/>
        <v>2948.2932592768302</v>
      </c>
      <c r="F49" s="13">
        <f t="shared" ca="1" si="0"/>
        <v>2986.5316512900813</v>
      </c>
      <c r="G49" s="13">
        <f t="shared" ca="1" si="1"/>
        <v>2933.0574066375275</v>
      </c>
      <c r="I49" s="14">
        <f t="shared" ca="1" si="5"/>
        <v>3</v>
      </c>
      <c r="J49" s="5">
        <f t="shared" ca="1" si="6"/>
        <v>2933.0574066375275</v>
      </c>
      <c r="K49" s="5">
        <f t="shared" ca="1" si="7"/>
        <v>3001.6884076375277</v>
      </c>
    </row>
    <row r="50" spans="1:11" x14ac:dyDescent="0.25">
      <c r="A50" s="2">
        <f t="shared" si="2"/>
        <v>48</v>
      </c>
      <c r="B50" s="3">
        <f t="shared" ca="1" si="3"/>
        <v>2627.0991539995293</v>
      </c>
      <c r="C50" s="3">
        <v>345.56472000000002</v>
      </c>
      <c r="E50" s="13">
        <f t="shared" ca="1" si="4"/>
        <v>2948.2932592768302</v>
      </c>
      <c r="F50" s="13">
        <f t="shared" ca="1" si="0"/>
        <v>2986.5316512900813</v>
      </c>
      <c r="G50" s="13">
        <f t="shared" ca="1" si="1"/>
        <v>3001.6884076375277</v>
      </c>
      <c r="I50" s="14">
        <f t="shared" ca="1" si="5"/>
        <v>1</v>
      </c>
      <c r="J50" s="5">
        <f t="shared" ca="1" si="6"/>
        <v>2948.2932592768302</v>
      </c>
      <c r="K50" s="5">
        <f t="shared" ca="1" si="7"/>
        <v>3293.8579792768301</v>
      </c>
    </row>
    <row r="51" spans="1:11" x14ac:dyDescent="0.25">
      <c r="A51" s="2">
        <f t="shared" si="2"/>
        <v>49</v>
      </c>
      <c r="B51" s="3">
        <f t="shared" ca="1" si="3"/>
        <v>2634.7699850839408</v>
      </c>
      <c r="C51" s="3">
        <v>375.76645000000002</v>
      </c>
      <c r="E51" s="13">
        <f t="shared" ca="1" si="4"/>
        <v>3293.8579792768301</v>
      </c>
      <c r="F51" s="13">
        <f t="shared" ca="1" si="0"/>
        <v>2986.5316512900813</v>
      </c>
      <c r="G51" s="13">
        <f t="shared" ca="1" si="1"/>
        <v>3001.6884076375277</v>
      </c>
      <c r="I51" s="14">
        <f t="shared" ca="1" si="5"/>
        <v>2</v>
      </c>
      <c r="J51" s="5">
        <f t="shared" ca="1" si="6"/>
        <v>2986.5316512900813</v>
      </c>
      <c r="K51" s="5">
        <f t="shared" ca="1" si="7"/>
        <v>3362.2981012900814</v>
      </c>
    </row>
    <row r="52" spans="1:11" x14ac:dyDescent="0.25">
      <c r="A52" s="2">
        <f t="shared" si="2"/>
        <v>50</v>
      </c>
      <c r="B52" s="3">
        <f t="shared" ca="1" si="3"/>
        <v>2906.7021330539055</v>
      </c>
      <c r="C52" s="3">
        <v>86.622466000000003</v>
      </c>
      <c r="E52" s="13">
        <f t="shared" ca="1" si="4"/>
        <v>3293.8579792768301</v>
      </c>
      <c r="F52" s="13">
        <f t="shared" ca="1" si="0"/>
        <v>3362.2981012900814</v>
      </c>
      <c r="G52" s="13">
        <f t="shared" ca="1" si="1"/>
        <v>3001.6884076375277</v>
      </c>
      <c r="I52" s="14">
        <f t="shared" ca="1" si="5"/>
        <v>3</v>
      </c>
      <c r="J52" s="5">
        <f t="shared" ca="1" si="6"/>
        <v>3001.6884076375277</v>
      </c>
      <c r="K52" s="5">
        <f t="shared" ca="1" si="7"/>
        <v>3088.3108736375275</v>
      </c>
    </row>
    <row r="53" spans="1:11" x14ac:dyDescent="0.25">
      <c r="A53" s="2">
        <f t="shared" si="2"/>
        <v>51</v>
      </c>
      <c r="B53" s="3">
        <f t="shared" ca="1" si="3"/>
        <v>2950.5636957260276</v>
      </c>
      <c r="C53" s="3">
        <v>102.12651</v>
      </c>
      <c r="E53" s="13">
        <f t="shared" ca="1" si="4"/>
        <v>3293.8579792768301</v>
      </c>
      <c r="F53" s="13">
        <f t="shared" ca="1" si="0"/>
        <v>3362.2981012900814</v>
      </c>
      <c r="G53" s="13">
        <f t="shared" ca="1" si="1"/>
        <v>3088.3108736375275</v>
      </c>
      <c r="I53" s="14">
        <f t="shared" ca="1" si="5"/>
        <v>3</v>
      </c>
      <c r="J53" s="5">
        <f t="shared" ca="1" si="6"/>
        <v>3088.3108736375275</v>
      </c>
      <c r="K53" s="5">
        <f t="shared" ca="1" si="7"/>
        <v>3190.4373836375275</v>
      </c>
    </row>
    <row r="54" spans="1:11" x14ac:dyDescent="0.25">
      <c r="A54" s="2">
        <f t="shared" si="2"/>
        <v>52</v>
      </c>
      <c r="B54" s="3">
        <f t="shared" ca="1" si="3"/>
        <v>2989.1101863156014</v>
      </c>
      <c r="C54" s="3">
        <v>98.590405000000004</v>
      </c>
      <c r="E54" s="13">
        <f t="shared" ca="1" si="4"/>
        <v>3293.8579792768301</v>
      </c>
      <c r="F54" s="13">
        <f t="shared" ca="1" si="0"/>
        <v>3362.2981012900814</v>
      </c>
      <c r="G54" s="13">
        <f t="shared" ca="1" si="1"/>
        <v>3190.4373836375275</v>
      </c>
      <c r="I54" s="14">
        <f t="shared" ca="1" si="5"/>
        <v>3</v>
      </c>
      <c r="J54" s="5">
        <f t="shared" ca="1" si="6"/>
        <v>3190.4373836375275</v>
      </c>
      <c r="K54" s="5">
        <f t="shared" ca="1" si="7"/>
        <v>3289.0277886375275</v>
      </c>
    </row>
    <row r="55" spans="1:11" x14ac:dyDescent="0.25">
      <c r="A55" s="2">
        <f t="shared" si="2"/>
        <v>53</v>
      </c>
      <c r="B55" s="3">
        <f t="shared" ca="1" si="3"/>
        <v>3007.4625438151952</v>
      </c>
      <c r="C55" s="3">
        <v>142.27887999999999</v>
      </c>
      <c r="E55" s="13">
        <f t="shared" ca="1" si="4"/>
        <v>3293.8579792768301</v>
      </c>
      <c r="F55" s="13">
        <f t="shared" ca="1" si="0"/>
        <v>3362.2981012900814</v>
      </c>
      <c r="G55" s="13">
        <f t="shared" ca="1" si="1"/>
        <v>3289.0277886375275</v>
      </c>
      <c r="I55" s="14">
        <f t="shared" ca="1" si="5"/>
        <v>3</v>
      </c>
      <c r="J55" s="5">
        <f t="shared" ca="1" si="6"/>
        <v>3289.0277886375275</v>
      </c>
      <c r="K55" s="5">
        <f t="shared" ca="1" si="7"/>
        <v>3431.3066686375273</v>
      </c>
    </row>
    <row r="56" spans="1:11" x14ac:dyDescent="0.25">
      <c r="A56" s="2">
        <f t="shared" si="2"/>
        <v>54</v>
      </c>
      <c r="B56" s="3">
        <f t="shared" ca="1" si="3"/>
        <v>3007.9465084279818</v>
      </c>
      <c r="C56" s="3">
        <v>218.12371999999999</v>
      </c>
      <c r="E56" s="13">
        <f t="shared" ca="1" si="4"/>
        <v>3293.8579792768301</v>
      </c>
      <c r="F56" s="13">
        <f t="shared" ca="1" si="0"/>
        <v>3362.2981012900814</v>
      </c>
      <c r="G56" s="13">
        <f t="shared" ca="1" si="1"/>
        <v>3431.3066686375273</v>
      </c>
      <c r="I56" s="14">
        <f t="shared" ca="1" si="5"/>
        <v>1</v>
      </c>
      <c r="J56" s="5">
        <f t="shared" ca="1" si="6"/>
        <v>3293.8579792768301</v>
      </c>
      <c r="K56" s="5">
        <f t="shared" ca="1" si="7"/>
        <v>3511.9816992768301</v>
      </c>
    </row>
    <row r="57" spans="1:11" x14ac:dyDescent="0.25">
      <c r="A57" s="2">
        <f t="shared" si="2"/>
        <v>55</v>
      </c>
      <c r="B57" s="3">
        <f t="shared" ca="1" si="3"/>
        <v>3035.4969035394638</v>
      </c>
      <c r="C57" s="3">
        <v>14.845497</v>
      </c>
      <c r="E57" s="13">
        <f t="shared" ca="1" si="4"/>
        <v>3511.9816992768301</v>
      </c>
      <c r="F57" s="13">
        <f t="shared" ca="1" si="0"/>
        <v>3362.2981012900814</v>
      </c>
      <c r="G57" s="13">
        <f t="shared" ca="1" si="1"/>
        <v>3431.3066686375273</v>
      </c>
      <c r="I57" s="14">
        <f t="shared" ca="1" si="5"/>
        <v>2</v>
      </c>
      <c r="J57" s="5">
        <f t="shared" ca="1" si="6"/>
        <v>3362.2981012900814</v>
      </c>
      <c r="K57" s="5">
        <f t="shared" ca="1" si="7"/>
        <v>3377.1435982900812</v>
      </c>
    </row>
    <row r="58" spans="1:11" x14ac:dyDescent="0.25">
      <c r="A58" s="2">
        <f t="shared" si="2"/>
        <v>56</v>
      </c>
      <c r="B58" s="3">
        <f t="shared" ca="1" si="3"/>
        <v>3059.8546524374451</v>
      </c>
      <c r="C58" s="3">
        <v>13.502108</v>
      </c>
      <c r="E58" s="13">
        <f t="shared" ca="1" si="4"/>
        <v>3511.9816992768301</v>
      </c>
      <c r="F58" s="13">
        <f t="shared" ca="1" si="0"/>
        <v>3377.1435982900812</v>
      </c>
      <c r="G58" s="13">
        <f t="shared" ca="1" si="1"/>
        <v>3431.3066686375273</v>
      </c>
      <c r="I58" s="14">
        <f t="shared" ca="1" si="5"/>
        <v>2</v>
      </c>
      <c r="J58" s="5">
        <f t="shared" ca="1" si="6"/>
        <v>3377.1435982900812</v>
      </c>
      <c r="K58" s="5">
        <f t="shared" ca="1" si="7"/>
        <v>3390.6457062900813</v>
      </c>
    </row>
    <row r="59" spans="1:11" x14ac:dyDescent="0.25">
      <c r="A59" s="2">
        <f t="shared" si="2"/>
        <v>57</v>
      </c>
      <c r="B59" s="3">
        <f t="shared" ca="1" si="3"/>
        <v>3118.0365338197412</v>
      </c>
      <c r="C59" s="3">
        <v>73.330543000000006</v>
      </c>
      <c r="E59" s="13">
        <f t="shared" ca="1" si="4"/>
        <v>3511.9816992768301</v>
      </c>
      <c r="F59" s="13">
        <f t="shared" ca="1" si="0"/>
        <v>3390.6457062900813</v>
      </c>
      <c r="G59" s="13">
        <f t="shared" ca="1" si="1"/>
        <v>3431.3066686375273</v>
      </c>
      <c r="I59" s="14">
        <f t="shared" ca="1" si="5"/>
        <v>2</v>
      </c>
      <c r="J59" s="5">
        <f t="shared" ca="1" si="6"/>
        <v>3390.6457062900813</v>
      </c>
      <c r="K59" s="5">
        <f t="shared" ca="1" si="7"/>
        <v>3463.9762492900813</v>
      </c>
    </row>
    <row r="60" spans="1:11" x14ac:dyDescent="0.25">
      <c r="A60" s="2">
        <f t="shared" si="2"/>
        <v>58</v>
      </c>
      <c r="B60" s="3">
        <f t="shared" ca="1" si="3"/>
        <v>3282.9404728378859</v>
      </c>
      <c r="C60" s="3">
        <v>268.53667000000002</v>
      </c>
      <c r="E60" s="13">
        <f t="shared" ca="1" si="4"/>
        <v>3511.9816992768301</v>
      </c>
      <c r="F60" s="13">
        <f t="shared" ca="1" si="0"/>
        <v>3463.9762492900813</v>
      </c>
      <c r="G60" s="13">
        <f t="shared" ca="1" si="1"/>
        <v>3431.3066686375273</v>
      </c>
      <c r="I60" s="14">
        <f t="shared" ca="1" si="5"/>
        <v>3</v>
      </c>
      <c r="J60" s="5">
        <f t="shared" ca="1" si="6"/>
        <v>3431.3066686375273</v>
      </c>
      <c r="K60" s="5">
        <f t="shared" ca="1" si="7"/>
        <v>3699.8433386375273</v>
      </c>
    </row>
    <row r="61" spans="1:11" x14ac:dyDescent="0.25">
      <c r="A61" s="2">
        <f t="shared" si="2"/>
        <v>59</v>
      </c>
      <c r="B61" s="3">
        <f t="shared" ca="1" si="3"/>
        <v>3334.0601441617355</v>
      </c>
      <c r="C61" s="3">
        <v>115.24966000000001</v>
      </c>
      <c r="E61" s="13">
        <f t="shared" ca="1" si="4"/>
        <v>3511.9816992768301</v>
      </c>
      <c r="F61" s="13">
        <f t="shared" ca="1" si="0"/>
        <v>3463.9762492900813</v>
      </c>
      <c r="G61" s="13">
        <f t="shared" ca="1" si="1"/>
        <v>3699.8433386375273</v>
      </c>
      <c r="I61" s="14">
        <f t="shared" ca="1" si="5"/>
        <v>2</v>
      </c>
      <c r="J61" s="5">
        <f t="shared" ca="1" si="6"/>
        <v>3463.9762492900813</v>
      </c>
      <c r="K61" s="5">
        <f t="shared" ca="1" si="7"/>
        <v>3579.2259092900813</v>
      </c>
    </row>
    <row r="62" spans="1:11" x14ac:dyDescent="0.25">
      <c r="A62" s="2">
        <f t="shared" si="2"/>
        <v>60</v>
      </c>
      <c r="B62" s="3">
        <f t="shared" ca="1" si="3"/>
        <v>3355.0877574060255</v>
      </c>
      <c r="C62" s="3">
        <v>251.04660000000001</v>
      </c>
      <c r="E62" s="13">
        <f t="shared" ca="1" si="4"/>
        <v>3511.9816992768301</v>
      </c>
      <c r="F62" s="13">
        <f t="shared" ca="1" si="0"/>
        <v>3579.2259092900813</v>
      </c>
      <c r="G62" s="13">
        <f t="shared" ca="1" si="1"/>
        <v>3699.8433386375273</v>
      </c>
      <c r="I62" s="14">
        <f t="shared" ca="1" si="5"/>
        <v>1</v>
      </c>
      <c r="J62" s="5">
        <f t="shared" ca="1" si="6"/>
        <v>3511.9816992768301</v>
      </c>
      <c r="K62" s="5">
        <f t="shared" ca="1" si="7"/>
        <v>3763.0282992768302</v>
      </c>
    </row>
    <row r="63" spans="1:11" x14ac:dyDescent="0.25">
      <c r="A63" s="2">
        <f t="shared" si="2"/>
        <v>61</v>
      </c>
      <c r="B63" s="3">
        <f t="shared" ca="1" si="3"/>
        <v>3377.1965047741751</v>
      </c>
      <c r="C63" s="3">
        <v>126.00758999999999</v>
      </c>
      <c r="E63" s="13">
        <f t="shared" ca="1" si="4"/>
        <v>3763.0282992768302</v>
      </c>
      <c r="F63" s="13">
        <f t="shared" ca="1" si="0"/>
        <v>3579.2259092900813</v>
      </c>
      <c r="G63" s="13">
        <f t="shared" ca="1" si="1"/>
        <v>3699.8433386375273</v>
      </c>
      <c r="I63" s="14">
        <f t="shared" ca="1" si="5"/>
        <v>2</v>
      </c>
      <c r="J63" s="5">
        <f t="shared" ca="1" si="6"/>
        <v>3579.2259092900813</v>
      </c>
      <c r="K63" s="5">
        <f t="shared" ca="1" si="7"/>
        <v>3705.2334992900815</v>
      </c>
    </row>
    <row r="64" spans="1:11" x14ac:dyDescent="0.25">
      <c r="A64" s="2">
        <f t="shared" si="2"/>
        <v>62</v>
      </c>
      <c r="B64" s="3">
        <f t="shared" ca="1" si="3"/>
        <v>3485.9981097095301</v>
      </c>
      <c r="C64" s="3">
        <v>427.02785</v>
      </c>
      <c r="E64" s="13">
        <f t="shared" ca="1" si="4"/>
        <v>3763.0282992768302</v>
      </c>
      <c r="F64" s="13">
        <f t="shared" ca="1" si="0"/>
        <v>3705.2334992900815</v>
      </c>
      <c r="G64" s="13">
        <f t="shared" ca="1" si="1"/>
        <v>3699.8433386375273</v>
      </c>
      <c r="I64" s="14">
        <f t="shared" ca="1" si="5"/>
        <v>3</v>
      </c>
      <c r="J64" s="5">
        <f t="shared" ca="1" si="6"/>
        <v>3699.8433386375273</v>
      </c>
      <c r="K64" s="5">
        <f t="shared" ca="1" si="7"/>
        <v>4126.8711886375277</v>
      </c>
    </row>
    <row r="65" spans="1:11" x14ac:dyDescent="0.25">
      <c r="A65" s="2">
        <f t="shared" si="2"/>
        <v>63</v>
      </c>
      <c r="B65" s="3">
        <f t="shared" ca="1" si="3"/>
        <v>3575.929957959866</v>
      </c>
      <c r="C65" s="3">
        <v>130.81727000000001</v>
      </c>
      <c r="E65" s="13">
        <f t="shared" ca="1" si="4"/>
        <v>3763.0282992768302</v>
      </c>
      <c r="F65" s="13">
        <f t="shared" ca="1" si="0"/>
        <v>3705.2334992900815</v>
      </c>
      <c r="G65" s="13">
        <f t="shared" ca="1" si="1"/>
        <v>4126.8711886375277</v>
      </c>
      <c r="I65" s="14">
        <f t="shared" ca="1" si="5"/>
        <v>2</v>
      </c>
      <c r="J65" s="5">
        <f t="shared" ca="1" si="6"/>
        <v>3705.2334992900815</v>
      </c>
      <c r="K65" s="5">
        <f t="shared" ca="1" si="7"/>
        <v>3836.0507692900815</v>
      </c>
    </row>
    <row r="66" spans="1:11" x14ac:dyDescent="0.25">
      <c r="A66" s="2">
        <f t="shared" si="2"/>
        <v>64</v>
      </c>
      <c r="B66" s="3">
        <f t="shared" ca="1" si="3"/>
        <v>3579.3195064677789</v>
      </c>
      <c r="C66" s="3">
        <v>32.89282</v>
      </c>
      <c r="E66" s="13">
        <f t="shared" ca="1" si="4"/>
        <v>3763.0282992768302</v>
      </c>
      <c r="F66" s="13">
        <f t="shared" ca="1" si="0"/>
        <v>3836.0507692900815</v>
      </c>
      <c r="G66" s="13">
        <f t="shared" ca="1" si="1"/>
        <v>4126.8711886375277</v>
      </c>
      <c r="I66" s="14">
        <f t="shared" ca="1" si="5"/>
        <v>1</v>
      </c>
      <c r="J66" s="5">
        <f t="shared" ca="1" si="6"/>
        <v>3763.0282992768302</v>
      </c>
      <c r="K66" s="5">
        <f t="shared" ca="1" si="7"/>
        <v>3795.9211192768303</v>
      </c>
    </row>
    <row r="67" spans="1:11" x14ac:dyDescent="0.25">
      <c r="A67" s="2">
        <f t="shared" si="2"/>
        <v>65</v>
      </c>
      <c r="B67" s="3">
        <f t="shared" ca="1" si="3"/>
        <v>3735.9045967474904</v>
      </c>
      <c r="C67" s="3">
        <v>84.666279000000003</v>
      </c>
      <c r="E67" s="13">
        <f t="shared" ca="1" si="4"/>
        <v>3795.9211192768303</v>
      </c>
      <c r="F67" s="13">
        <f t="shared" ca="1" si="0"/>
        <v>3836.0507692900815</v>
      </c>
      <c r="G67" s="13">
        <f t="shared" ca="1" si="1"/>
        <v>4126.8711886375277</v>
      </c>
      <c r="I67" s="14">
        <f t="shared" ca="1" si="5"/>
        <v>1</v>
      </c>
      <c r="J67" s="5">
        <f t="shared" ca="1" si="6"/>
        <v>3795.9211192768303</v>
      </c>
      <c r="K67" s="5">
        <f t="shared" ca="1" si="7"/>
        <v>3880.5873982768303</v>
      </c>
    </row>
    <row r="68" spans="1:11" x14ac:dyDescent="0.25">
      <c r="A68" s="2">
        <f t="shared" si="2"/>
        <v>66</v>
      </c>
      <c r="B68" s="3">
        <f t="shared" ca="1" si="3"/>
        <v>3772.2989650149038</v>
      </c>
      <c r="C68" s="3">
        <v>14.239832</v>
      </c>
      <c r="E68" s="13">
        <f t="shared" ca="1" si="4"/>
        <v>3880.5873982768303</v>
      </c>
      <c r="F68" s="13">
        <f t="shared" ref="F68:F102" ca="1" si="8">IF($I67=F$2, $K67, F67)</f>
        <v>3836.0507692900815</v>
      </c>
      <c r="G68" s="13">
        <f t="shared" ref="G68:G102" ca="1" si="9">IF($I67=G$2, $K67, G67)</f>
        <v>4126.8711886375277</v>
      </c>
      <c r="I68" s="14">
        <f t="shared" ca="1" si="5"/>
        <v>2</v>
      </c>
      <c r="J68" s="5">
        <f t="shared" ca="1" si="6"/>
        <v>3836.0507692900815</v>
      </c>
      <c r="K68" s="5">
        <f t="shared" ca="1" si="7"/>
        <v>3850.2906012900817</v>
      </c>
    </row>
    <row r="69" spans="1:11" x14ac:dyDescent="0.25">
      <c r="A69" s="2">
        <f t="shared" ref="A69:A102" si="10">A68+1</f>
        <v>67</v>
      </c>
      <c r="B69" s="3">
        <f t="shared" ref="B69:B102" ca="1" si="11">B68-60*LN(RAND())</f>
        <v>3885.2856829883958</v>
      </c>
      <c r="C69" s="3">
        <v>49.915284999999997</v>
      </c>
      <c r="E69" s="13">
        <f t="shared" ref="E69:E102" ca="1" si="12">IF($I68=E$2, $K68, E68)</f>
        <v>3880.5873982768303</v>
      </c>
      <c r="F69" s="13">
        <f t="shared" ca="1" si="8"/>
        <v>3850.2906012900817</v>
      </c>
      <c r="G69" s="13">
        <f t="shared" ca="1" si="9"/>
        <v>4126.8711886375277</v>
      </c>
      <c r="I69" s="14">
        <f t="shared" ref="I69:I73" ca="1" si="13">IF(E69&lt;=MIN(F69:G69), 1, IF(F69&lt;=G69, 2, 3))</f>
        <v>2</v>
      </c>
      <c r="J69" s="5">
        <f t="shared" ref="J69:J73" ca="1" si="14">MAX(B69, OFFSET(D69, 0, I69))</f>
        <v>3885.2856829883958</v>
      </c>
      <c r="K69" s="5">
        <f t="shared" ref="K69:K73" ca="1" si="15">J69+C69</f>
        <v>3935.2009679883959</v>
      </c>
    </row>
    <row r="70" spans="1:11" x14ac:dyDescent="0.25">
      <c r="A70" s="2">
        <f t="shared" si="10"/>
        <v>68</v>
      </c>
      <c r="B70" s="3">
        <f t="shared" ca="1" si="11"/>
        <v>3899.8538210454549</v>
      </c>
      <c r="C70" s="3">
        <v>36.263205999999997</v>
      </c>
      <c r="E70" s="13">
        <f t="shared" ca="1" si="12"/>
        <v>3880.5873982768303</v>
      </c>
      <c r="F70" s="13">
        <f t="shared" ca="1" si="8"/>
        <v>3935.2009679883959</v>
      </c>
      <c r="G70" s="13">
        <f t="shared" ca="1" si="9"/>
        <v>4126.8711886375277</v>
      </c>
      <c r="I70" s="14">
        <f t="shared" ca="1" si="13"/>
        <v>1</v>
      </c>
      <c r="J70" s="5">
        <f t="shared" ca="1" si="14"/>
        <v>3899.8538210454549</v>
      </c>
      <c r="K70" s="5">
        <f t="shared" ca="1" si="15"/>
        <v>3936.117027045455</v>
      </c>
    </row>
    <row r="71" spans="1:11" x14ac:dyDescent="0.25">
      <c r="A71" s="2">
        <f t="shared" si="10"/>
        <v>69</v>
      </c>
      <c r="B71" s="3">
        <f t="shared" ca="1" si="11"/>
        <v>3984.5234433816581</v>
      </c>
      <c r="C71" s="3">
        <v>254.33555000000001</v>
      </c>
      <c r="E71" s="13">
        <f t="shared" ca="1" si="12"/>
        <v>3936.117027045455</v>
      </c>
      <c r="F71" s="13">
        <f t="shared" ca="1" si="8"/>
        <v>3935.2009679883959</v>
      </c>
      <c r="G71" s="13">
        <f t="shared" ca="1" si="9"/>
        <v>4126.8711886375277</v>
      </c>
      <c r="I71" s="14">
        <f t="shared" ca="1" si="13"/>
        <v>2</v>
      </c>
      <c r="J71" s="5">
        <f t="shared" ca="1" si="14"/>
        <v>3984.5234433816581</v>
      </c>
      <c r="K71" s="5">
        <f t="shared" ca="1" si="15"/>
        <v>4238.8589933816584</v>
      </c>
    </row>
    <row r="72" spans="1:11" x14ac:dyDescent="0.25">
      <c r="A72" s="2">
        <f t="shared" si="10"/>
        <v>70</v>
      </c>
      <c r="B72" s="3">
        <f t="shared" ca="1" si="11"/>
        <v>3990.9015749834216</v>
      </c>
      <c r="C72" s="3">
        <v>173.87416999999999</v>
      </c>
      <c r="E72" s="13">
        <f t="shared" ca="1" si="12"/>
        <v>3936.117027045455</v>
      </c>
      <c r="F72" s="13">
        <f t="shared" ca="1" si="8"/>
        <v>4238.8589933816584</v>
      </c>
      <c r="G72" s="13">
        <f t="shared" ca="1" si="9"/>
        <v>4126.8711886375277</v>
      </c>
      <c r="I72" s="14">
        <f t="shared" ca="1" si="13"/>
        <v>1</v>
      </c>
      <c r="J72" s="5">
        <f t="shared" ca="1" si="14"/>
        <v>3990.9015749834216</v>
      </c>
      <c r="K72" s="5">
        <f t="shared" ca="1" si="15"/>
        <v>4164.7757449834216</v>
      </c>
    </row>
    <row r="73" spans="1:11" x14ac:dyDescent="0.25">
      <c r="A73" s="2">
        <f t="shared" si="10"/>
        <v>71</v>
      </c>
      <c r="B73" s="3">
        <f t="shared" ca="1" si="11"/>
        <v>4056.7287727557123</v>
      </c>
      <c r="C73" s="3">
        <v>194.30733000000001</v>
      </c>
      <c r="E73" s="13">
        <f t="shared" ca="1" si="12"/>
        <v>4164.7757449834216</v>
      </c>
      <c r="F73" s="13">
        <f t="shared" ca="1" si="8"/>
        <v>4238.8589933816584</v>
      </c>
      <c r="G73" s="13">
        <f t="shared" ca="1" si="9"/>
        <v>4126.8711886375277</v>
      </c>
      <c r="I73" s="14">
        <f t="shared" ca="1" si="13"/>
        <v>3</v>
      </c>
      <c r="J73" s="5">
        <f t="shared" ca="1" si="14"/>
        <v>4126.8711886375277</v>
      </c>
      <c r="K73" s="5">
        <f t="shared" ca="1" si="15"/>
        <v>4321.1785186375273</v>
      </c>
    </row>
    <row r="74" spans="1:11" x14ac:dyDescent="0.25">
      <c r="A74" s="2">
        <f t="shared" si="10"/>
        <v>72</v>
      </c>
      <c r="B74" s="3">
        <f t="shared" ca="1" si="11"/>
        <v>4100.3162899174522</v>
      </c>
      <c r="C74" s="3">
        <v>194.30733000000001</v>
      </c>
      <c r="E74" s="13">
        <f t="shared" ca="1" si="12"/>
        <v>4164.7757449834216</v>
      </c>
      <c r="F74" s="13">
        <f t="shared" ca="1" si="8"/>
        <v>4238.8589933816584</v>
      </c>
      <c r="G74" s="13">
        <f t="shared" ca="1" si="9"/>
        <v>4321.1785186375273</v>
      </c>
      <c r="I74" s="14">
        <f t="shared" ref="I74:I102" ca="1" si="16">IF(E74&lt;=MIN(F74:G74), 1, IF(F74&lt;=G74, 2, 3))</f>
        <v>1</v>
      </c>
      <c r="J74" s="5">
        <f t="shared" ref="J74:J102" ca="1" si="17">MAX(B74, OFFSET(D74, 0, I74))</f>
        <v>4164.7757449834216</v>
      </c>
      <c r="K74" s="5">
        <f t="shared" ref="K74:K102" ca="1" si="18">J74+C74</f>
        <v>4359.0830749834213</v>
      </c>
    </row>
    <row r="75" spans="1:11" x14ac:dyDescent="0.25">
      <c r="A75" s="2">
        <f t="shared" si="10"/>
        <v>73</v>
      </c>
      <c r="B75" s="3">
        <f t="shared" ca="1" si="11"/>
        <v>4151.7905667183168</v>
      </c>
      <c r="C75" s="3">
        <v>194.30733000000001</v>
      </c>
      <c r="E75" s="13">
        <f t="shared" ca="1" si="12"/>
        <v>4359.0830749834213</v>
      </c>
      <c r="F75" s="13">
        <f t="shared" ca="1" si="8"/>
        <v>4238.8589933816584</v>
      </c>
      <c r="G75" s="13">
        <f t="shared" ca="1" si="9"/>
        <v>4321.1785186375273</v>
      </c>
      <c r="I75" s="14">
        <f t="shared" ca="1" si="16"/>
        <v>2</v>
      </c>
      <c r="J75" s="5">
        <f t="shared" ca="1" si="17"/>
        <v>4238.8589933816584</v>
      </c>
      <c r="K75" s="5">
        <f t="shared" ca="1" si="18"/>
        <v>4433.166323381658</v>
      </c>
    </row>
    <row r="76" spans="1:11" x14ac:dyDescent="0.25">
      <c r="A76" s="2">
        <f t="shared" si="10"/>
        <v>74</v>
      </c>
      <c r="B76" s="3">
        <f t="shared" ca="1" si="11"/>
        <v>4207.7976756330127</v>
      </c>
      <c r="C76" s="3">
        <v>194.30733000000001</v>
      </c>
      <c r="E76" s="13">
        <f t="shared" ca="1" si="12"/>
        <v>4359.0830749834213</v>
      </c>
      <c r="F76" s="13">
        <f t="shared" ca="1" si="8"/>
        <v>4433.166323381658</v>
      </c>
      <c r="G76" s="13">
        <f t="shared" ca="1" si="9"/>
        <v>4321.1785186375273</v>
      </c>
      <c r="I76" s="14">
        <f t="shared" ca="1" si="16"/>
        <v>3</v>
      </c>
      <c r="J76" s="5">
        <f t="shared" ca="1" si="17"/>
        <v>4321.1785186375273</v>
      </c>
      <c r="K76" s="5">
        <f t="shared" ca="1" si="18"/>
        <v>4515.4858486375269</v>
      </c>
    </row>
    <row r="77" spans="1:11" x14ac:dyDescent="0.25">
      <c r="A77" s="2">
        <f t="shared" si="10"/>
        <v>75</v>
      </c>
      <c r="B77" s="3">
        <f t="shared" ca="1" si="11"/>
        <v>4313.7146975437336</v>
      </c>
      <c r="C77" s="3">
        <v>194.30733000000001</v>
      </c>
      <c r="E77" s="13">
        <f t="shared" ca="1" si="12"/>
        <v>4359.0830749834213</v>
      </c>
      <c r="F77" s="13">
        <f t="shared" ca="1" si="8"/>
        <v>4433.166323381658</v>
      </c>
      <c r="G77" s="13">
        <f t="shared" ca="1" si="9"/>
        <v>4515.4858486375269</v>
      </c>
      <c r="I77" s="14">
        <f t="shared" ca="1" si="16"/>
        <v>1</v>
      </c>
      <c r="J77" s="5">
        <f t="shared" ca="1" si="17"/>
        <v>4359.0830749834213</v>
      </c>
      <c r="K77" s="5">
        <f t="shared" ca="1" si="18"/>
        <v>4553.3904049834209</v>
      </c>
    </row>
    <row r="78" spans="1:11" x14ac:dyDescent="0.25">
      <c r="A78" s="2">
        <f t="shared" si="10"/>
        <v>76</v>
      </c>
      <c r="B78" s="3">
        <f t="shared" ca="1" si="11"/>
        <v>4322.6898563478408</v>
      </c>
      <c r="C78" s="3">
        <v>194.30733000000001</v>
      </c>
      <c r="E78" s="13">
        <f t="shared" ca="1" si="12"/>
        <v>4553.3904049834209</v>
      </c>
      <c r="F78" s="13">
        <f t="shared" ca="1" si="8"/>
        <v>4433.166323381658</v>
      </c>
      <c r="G78" s="13">
        <f t="shared" ca="1" si="9"/>
        <v>4515.4858486375269</v>
      </c>
      <c r="I78" s="14">
        <f t="shared" ca="1" si="16"/>
        <v>2</v>
      </c>
      <c r="J78" s="5">
        <f t="shared" ca="1" si="17"/>
        <v>4433.166323381658</v>
      </c>
      <c r="K78" s="5">
        <f t="shared" ca="1" si="18"/>
        <v>4627.4736533816576</v>
      </c>
    </row>
    <row r="79" spans="1:11" x14ac:dyDescent="0.25">
      <c r="A79" s="2">
        <f t="shared" si="10"/>
        <v>77</v>
      </c>
      <c r="B79" s="3">
        <f t="shared" ca="1" si="11"/>
        <v>4361.7734517159015</v>
      </c>
      <c r="C79" s="3">
        <v>194.30733000000001</v>
      </c>
      <c r="E79" s="13">
        <f t="shared" ca="1" si="12"/>
        <v>4553.3904049834209</v>
      </c>
      <c r="F79" s="13">
        <f t="shared" ca="1" si="8"/>
        <v>4627.4736533816576</v>
      </c>
      <c r="G79" s="13">
        <f t="shared" ca="1" si="9"/>
        <v>4515.4858486375269</v>
      </c>
      <c r="I79" s="14">
        <f t="shared" ca="1" si="16"/>
        <v>3</v>
      </c>
      <c r="J79" s="5">
        <f t="shared" ca="1" si="17"/>
        <v>4515.4858486375269</v>
      </c>
      <c r="K79" s="5">
        <f t="shared" ca="1" si="18"/>
        <v>4709.7931786375266</v>
      </c>
    </row>
    <row r="80" spans="1:11" x14ac:dyDescent="0.25">
      <c r="A80" s="2">
        <f t="shared" si="10"/>
        <v>78</v>
      </c>
      <c r="B80" s="3">
        <f t="shared" ca="1" si="11"/>
        <v>4408.9126143363846</v>
      </c>
      <c r="C80" s="3">
        <v>194.30733000000001</v>
      </c>
      <c r="E80" s="13">
        <f t="shared" ca="1" si="12"/>
        <v>4553.3904049834209</v>
      </c>
      <c r="F80" s="13">
        <f t="shared" ca="1" si="8"/>
        <v>4627.4736533816576</v>
      </c>
      <c r="G80" s="13">
        <f t="shared" ca="1" si="9"/>
        <v>4709.7931786375266</v>
      </c>
      <c r="I80" s="14">
        <f t="shared" ca="1" si="16"/>
        <v>1</v>
      </c>
      <c r="J80" s="5">
        <f t="shared" ca="1" si="17"/>
        <v>4553.3904049834209</v>
      </c>
      <c r="K80" s="5">
        <f t="shared" ca="1" si="18"/>
        <v>4747.6977349834206</v>
      </c>
    </row>
    <row r="81" spans="1:11" x14ac:dyDescent="0.25">
      <c r="A81" s="2">
        <f t="shared" si="10"/>
        <v>79</v>
      </c>
      <c r="B81" s="3">
        <f t="shared" ca="1" si="11"/>
        <v>4514.0453227548487</v>
      </c>
      <c r="C81" s="3">
        <v>194.30733000000001</v>
      </c>
      <c r="E81" s="13">
        <f t="shared" ca="1" si="12"/>
        <v>4747.6977349834206</v>
      </c>
      <c r="F81" s="13">
        <f t="shared" ca="1" si="8"/>
        <v>4627.4736533816576</v>
      </c>
      <c r="G81" s="13">
        <f t="shared" ca="1" si="9"/>
        <v>4709.7931786375266</v>
      </c>
      <c r="I81" s="14">
        <f t="shared" ca="1" si="16"/>
        <v>2</v>
      </c>
      <c r="J81" s="5">
        <f t="shared" ca="1" si="17"/>
        <v>4627.4736533816576</v>
      </c>
      <c r="K81" s="5">
        <f t="shared" ca="1" si="18"/>
        <v>4821.7809833816573</v>
      </c>
    </row>
    <row r="82" spans="1:11" x14ac:dyDescent="0.25">
      <c r="A82" s="2">
        <f t="shared" si="10"/>
        <v>80</v>
      </c>
      <c r="B82" s="3">
        <f t="shared" ca="1" si="11"/>
        <v>4549.0262925229927</v>
      </c>
      <c r="C82" s="3">
        <v>194.30733000000001</v>
      </c>
      <c r="E82" s="13">
        <f t="shared" ca="1" si="12"/>
        <v>4747.6977349834206</v>
      </c>
      <c r="F82" s="13">
        <f t="shared" ca="1" si="8"/>
        <v>4821.7809833816573</v>
      </c>
      <c r="G82" s="13">
        <f t="shared" ca="1" si="9"/>
        <v>4709.7931786375266</v>
      </c>
      <c r="I82" s="14">
        <f t="shared" ca="1" si="16"/>
        <v>3</v>
      </c>
      <c r="J82" s="5">
        <f t="shared" ca="1" si="17"/>
        <v>4709.7931786375266</v>
      </c>
      <c r="K82" s="5">
        <f t="shared" ca="1" si="18"/>
        <v>4904.1005086375262</v>
      </c>
    </row>
    <row r="83" spans="1:11" x14ac:dyDescent="0.25">
      <c r="A83" s="2">
        <f t="shared" si="10"/>
        <v>81</v>
      </c>
      <c r="B83" s="3">
        <f t="shared" ca="1" si="11"/>
        <v>4629.0586528966269</v>
      </c>
      <c r="C83" s="3">
        <v>194.30733000000001</v>
      </c>
      <c r="E83" s="13">
        <f t="shared" ca="1" si="12"/>
        <v>4747.6977349834206</v>
      </c>
      <c r="F83" s="13">
        <f t="shared" ca="1" si="8"/>
        <v>4821.7809833816573</v>
      </c>
      <c r="G83" s="13">
        <f t="shared" ca="1" si="9"/>
        <v>4904.1005086375262</v>
      </c>
      <c r="I83" s="14">
        <f t="shared" ca="1" si="16"/>
        <v>1</v>
      </c>
      <c r="J83" s="5">
        <f t="shared" ca="1" si="17"/>
        <v>4747.6977349834206</v>
      </c>
      <c r="K83" s="5">
        <f t="shared" ca="1" si="18"/>
        <v>4942.0050649834202</v>
      </c>
    </row>
    <row r="84" spans="1:11" x14ac:dyDescent="0.25">
      <c r="A84" s="2">
        <f t="shared" si="10"/>
        <v>82</v>
      </c>
      <c r="B84" s="3">
        <f t="shared" ca="1" si="11"/>
        <v>4701.2753010651113</v>
      </c>
      <c r="C84" s="3">
        <v>194.30733000000001</v>
      </c>
      <c r="E84" s="13">
        <f t="shared" ca="1" si="12"/>
        <v>4942.0050649834202</v>
      </c>
      <c r="F84" s="13">
        <f t="shared" ca="1" si="8"/>
        <v>4821.7809833816573</v>
      </c>
      <c r="G84" s="13">
        <f t="shared" ca="1" si="9"/>
        <v>4904.1005086375262</v>
      </c>
      <c r="I84" s="14">
        <f t="shared" ca="1" si="16"/>
        <v>2</v>
      </c>
      <c r="J84" s="5">
        <f t="shared" ca="1" si="17"/>
        <v>4821.7809833816573</v>
      </c>
      <c r="K84" s="5">
        <f t="shared" ca="1" si="18"/>
        <v>5016.0883133816569</v>
      </c>
    </row>
    <row r="85" spans="1:11" x14ac:dyDescent="0.25">
      <c r="A85" s="2">
        <f t="shared" si="10"/>
        <v>83</v>
      </c>
      <c r="B85" s="3">
        <f t="shared" ca="1" si="11"/>
        <v>4797.7604677087447</v>
      </c>
      <c r="C85" s="3">
        <v>194.30733000000001</v>
      </c>
      <c r="E85" s="13">
        <f t="shared" ca="1" si="12"/>
        <v>4942.0050649834202</v>
      </c>
      <c r="F85" s="13">
        <f t="shared" ca="1" si="8"/>
        <v>5016.0883133816569</v>
      </c>
      <c r="G85" s="13">
        <f t="shared" ca="1" si="9"/>
        <v>4904.1005086375262</v>
      </c>
      <c r="I85" s="14">
        <f t="shared" ca="1" si="16"/>
        <v>3</v>
      </c>
      <c r="J85" s="5">
        <f t="shared" ca="1" si="17"/>
        <v>4904.1005086375262</v>
      </c>
      <c r="K85" s="5">
        <f t="shared" ca="1" si="18"/>
        <v>5098.4078386375259</v>
      </c>
    </row>
    <row r="86" spans="1:11" x14ac:dyDescent="0.25">
      <c r="A86" s="2">
        <f t="shared" si="10"/>
        <v>84</v>
      </c>
      <c r="B86" s="3">
        <f t="shared" ca="1" si="11"/>
        <v>4852.5846519794368</v>
      </c>
      <c r="C86" s="3">
        <v>194.30733000000001</v>
      </c>
      <c r="E86" s="13">
        <f t="shared" ca="1" si="12"/>
        <v>4942.0050649834202</v>
      </c>
      <c r="F86" s="13">
        <f t="shared" ca="1" si="8"/>
        <v>5016.0883133816569</v>
      </c>
      <c r="G86" s="13">
        <f t="shared" ca="1" si="9"/>
        <v>5098.4078386375259</v>
      </c>
      <c r="I86" s="14">
        <f t="shared" ca="1" si="16"/>
        <v>1</v>
      </c>
      <c r="J86" s="5">
        <f t="shared" ca="1" si="17"/>
        <v>4942.0050649834202</v>
      </c>
      <c r="K86" s="5">
        <f t="shared" ca="1" si="18"/>
        <v>5136.3123949834198</v>
      </c>
    </row>
    <row r="87" spans="1:11" x14ac:dyDescent="0.25">
      <c r="A87" s="2">
        <f t="shared" si="10"/>
        <v>85</v>
      </c>
      <c r="B87" s="3">
        <f t="shared" ca="1" si="11"/>
        <v>4855.1807565625031</v>
      </c>
      <c r="C87" s="3">
        <v>194.30733000000001</v>
      </c>
      <c r="E87" s="13">
        <f t="shared" ca="1" si="12"/>
        <v>5136.3123949834198</v>
      </c>
      <c r="F87" s="13">
        <f t="shared" ca="1" si="8"/>
        <v>5016.0883133816569</v>
      </c>
      <c r="G87" s="13">
        <f t="shared" ca="1" si="9"/>
        <v>5098.4078386375259</v>
      </c>
      <c r="I87" s="14">
        <f t="shared" ca="1" si="16"/>
        <v>2</v>
      </c>
      <c r="J87" s="5">
        <f t="shared" ca="1" si="17"/>
        <v>5016.0883133816569</v>
      </c>
      <c r="K87" s="5">
        <f t="shared" ca="1" si="18"/>
        <v>5210.3956433816566</v>
      </c>
    </row>
    <row r="88" spans="1:11" x14ac:dyDescent="0.25">
      <c r="A88" s="2">
        <f t="shared" si="10"/>
        <v>86</v>
      </c>
      <c r="B88" s="3">
        <f t="shared" ca="1" si="11"/>
        <v>4863.4078074027693</v>
      </c>
      <c r="C88" s="3">
        <v>194.30733000000001</v>
      </c>
      <c r="E88" s="13">
        <f t="shared" ca="1" si="12"/>
        <v>5136.3123949834198</v>
      </c>
      <c r="F88" s="13">
        <f t="shared" ca="1" si="8"/>
        <v>5210.3956433816566</v>
      </c>
      <c r="G88" s="13">
        <f t="shared" ca="1" si="9"/>
        <v>5098.4078386375259</v>
      </c>
      <c r="I88" s="14">
        <f t="shared" ca="1" si="16"/>
        <v>3</v>
      </c>
      <c r="J88" s="5">
        <f t="shared" ca="1" si="17"/>
        <v>5098.4078386375259</v>
      </c>
      <c r="K88" s="5">
        <f t="shared" ca="1" si="18"/>
        <v>5292.7151686375255</v>
      </c>
    </row>
    <row r="89" spans="1:11" x14ac:dyDescent="0.25">
      <c r="A89" s="2">
        <f t="shared" si="10"/>
        <v>87</v>
      </c>
      <c r="B89" s="3">
        <f t="shared" ca="1" si="11"/>
        <v>4947.0014754075728</v>
      </c>
      <c r="C89" s="3">
        <v>194.30733000000001</v>
      </c>
      <c r="E89" s="13">
        <f t="shared" ca="1" si="12"/>
        <v>5136.3123949834198</v>
      </c>
      <c r="F89" s="13">
        <f t="shared" ca="1" si="8"/>
        <v>5210.3956433816566</v>
      </c>
      <c r="G89" s="13">
        <f t="shared" ca="1" si="9"/>
        <v>5292.7151686375255</v>
      </c>
      <c r="I89" s="14">
        <f t="shared" ca="1" si="16"/>
        <v>1</v>
      </c>
      <c r="J89" s="5">
        <f t="shared" ca="1" si="17"/>
        <v>5136.3123949834198</v>
      </c>
      <c r="K89" s="5">
        <f t="shared" ca="1" si="18"/>
        <v>5330.6197249834195</v>
      </c>
    </row>
    <row r="90" spans="1:11" x14ac:dyDescent="0.25">
      <c r="A90" s="2">
        <f t="shared" si="10"/>
        <v>88</v>
      </c>
      <c r="B90" s="3">
        <f t="shared" ca="1" si="11"/>
        <v>5062.9702372525071</v>
      </c>
      <c r="C90" s="3">
        <v>194.30733000000001</v>
      </c>
      <c r="E90" s="13">
        <f t="shared" ca="1" si="12"/>
        <v>5330.6197249834195</v>
      </c>
      <c r="F90" s="13">
        <f t="shared" ca="1" si="8"/>
        <v>5210.3956433816566</v>
      </c>
      <c r="G90" s="13">
        <f t="shared" ca="1" si="9"/>
        <v>5292.7151686375255</v>
      </c>
      <c r="I90" s="14">
        <f t="shared" ca="1" si="16"/>
        <v>2</v>
      </c>
      <c r="J90" s="5">
        <f t="shared" ca="1" si="17"/>
        <v>5210.3956433816566</v>
      </c>
      <c r="K90" s="5">
        <f t="shared" ca="1" si="18"/>
        <v>5404.7029733816562</v>
      </c>
    </row>
    <row r="91" spans="1:11" x14ac:dyDescent="0.25">
      <c r="A91" s="2">
        <f t="shared" si="10"/>
        <v>89</v>
      </c>
      <c r="B91" s="3">
        <f t="shared" ca="1" si="11"/>
        <v>5080.2912392125454</v>
      </c>
      <c r="C91" s="3">
        <v>194.30733000000001</v>
      </c>
      <c r="E91" s="13">
        <f t="shared" ca="1" si="12"/>
        <v>5330.6197249834195</v>
      </c>
      <c r="F91" s="13">
        <f t="shared" ca="1" si="8"/>
        <v>5404.7029733816562</v>
      </c>
      <c r="G91" s="13">
        <f t="shared" ca="1" si="9"/>
        <v>5292.7151686375255</v>
      </c>
      <c r="I91" s="14">
        <f t="shared" ca="1" si="16"/>
        <v>3</v>
      </c>
      <c r="J91" s="5">
        <f t="shared" ca="1" si="17"/>
        <v>5292.7151686375255</v>
      </c>
      <c r="K91" s="5">
        <f t="shared" ca="1" si="18"/>
        <v>5487.0224986375251</v>
      </c>
    </row>
    <row r="92" spans="1:11" x14ac:dyDescent="0.25">
      <c r="A92" s="2">
        <f t="shared" si="10"/>
        <v>90</v>
      </c>
      <c r="B92" s="3">
        <f t="shared" ca="1" si="11"/>
        <v>5080.6698910454597</v>
      </c>
      <c r="C92" s="3">
        <v>194.30733000000001</v>
      </c>
      <c r="E92" s="13">
        <f t="shared" ca="1" si="12"/>
        <v>5330.6197249834195</v>
      </c>
      <c r="F92" s="13">
        <f t="shared" ca="1" si="8"/>
        <v>5404.7029733816562</v>
      </c>
      <c r="G92" s="13">
        <f t="shared" ca="1" si="9"/>
        <v>5487.0224986375251</v>
      </c>
      <c r="I92" s="14">
        <f t="shared" ca="1" si="16"/>
        <v>1</v>
      </c>
      <c r="J92" s="5">
        <f t="shared" ca="1" si="17"/>
        <v>5330.6197249834195</v>
      </c>
      <c r="K92" s="5">
        <f t="shared" ca="1" si="18"/>
        <v>5524.9270549834191</v>
      </c>
    </row>
    <row r="93" spans="1:11" x14ac:dyDescent="0.25">
      <c r="A93" s="2">
        <f t="shared" si="10"/>
        <v>91</v>
      </c>
      <c r="B93" s="3">
        <f t="shared" ca="1" si="11"/>
        <v>5098.2636649334099</v>
      </c>
      <c r="C93" s="3">
        <v>194.30733000000001</v>
      </c>
      <c r="E93" s="13">
        <f t="shared" ca="1" si="12"/>
        <v>5524.9270549834191</v>
      </c>
      <c r="F93" s="13">
        <f t="shared" ca="1" si="8"/>
        <v>5404.7029733816562</v>
      </c>
      <c r="G93" s="13">
        <f t="shared" ca="1" si="9"/>
        <v>5487.0224986375251</v>
      </c>
      <c r="I93" s="14">
        <f t="shared" ca="1" si="16"/>
        <v>2</v>
      </c>
      <c r="J93" s="5">
        <f t="shared" ca="1" si="17"/>
        <v>5404.7029733816562</v>
      </c>
      <c r="K93" s="5">
        <f t="shared" ca="1" si="18"/>
        <v>5599.0103033816558</v>
      </c>
    </row>
    <row r="94" spans="1:11" x14ac:dyDescent="0.25">
      <c r="A94" s="2">
        <f t="shared" si="10"/>
        <v>92</v>
      </c>
      <c r="B94" s="3">
        <f t="shared" ca="1" si="11"/>
        <v>5152.5626531358394</v>
      </c>
      <c r="C94" s="3">
        <v>194.30733000000001</v>
      </c>
      <c r="E94" s="13">
        <f t="shared" ca="1" si="12"/>
        <v>5524.9270549834191</v>
      </c>
      <c r="F94" s="13">
        <f t="shared" ca="1" si="8"/>
        <v>5599.0103033816558</v>
      </c>
      <c r="G94" s="13">
        <f t="shared" ca="1" si="9"/>
        <v>5487.0224986375251</v>
      </c>
      <c r="I94" s="14">
        <f t="shared" ca="1" si="16"/>
        <v>3</v>
      </c>
      <c r="J94" s="5">
        <f t="shared" ca="1" si="17"/>
        <v>5487.0224986375251</v>
      </c>
      <c r="K94" s="5">
        <f t="shared" ca="1" si="18"/>
        <v>5681.3298286375248</v>
      </c>
    </row>
    <row r="95" spans="1:11" x14ac:dyDescent="0.25">
      <c r="A95" s="2">
        <f t="shared" si="10"/>
        <v>93</v>
      </c>
      <c r="B95" s="3">
        <f t="shared" ca="1" si="11"/>
        <v>5156.7659412903968</v>
      </c>
      <c r="C95" s="3">
        <v>194.30733000000001</v>
      </c>
      <c r="E95" s="13">
        <f t="shared" ca="1" si="12"/>
        <v>5524.9270549834191</v>
      </c>
      <c r="F95" s="13">
        <f t="shared" ca="1" si="8"/>
        <v>5599.0103033816558</v>
      </c>
      <c r="G95" s="13">
        <f t="shared" ca="1" si="9"/>
        <v>5681.3298286375248</v>
      </c>
      <c r="I95" s="14">
        <f t="shared" ca="1" si="16"/>
        <v>1</v>
      </c>
      <c r="J95" s="5">
        <f t="shared" ca="1" si="17"/>
        <v>5524.9270549834191</v>
      </c>
      <c r="K95" s="5">
        <f t="shared" ca="1" si="18"/>
        <v>5719.2343849834187</v>
      </c>
    </row>
    <row r="96" spans="1:11" x14ac:dyDescent="0.25">
      <c r="A96" s="2">
        <f t="shared" si="10"/>
        <v>94</v>
      </c>
      <c r="B96" s="3">
        <f t="shared" ca="1" si="11"/>
        <v>5200.1368510645971</v>
      </c>
      <c r="C96" s="3">
        <v>194.30733000000001</v>
      </c>
      <c r="E96" s="13">
        <f t="shared" ca="1" si="12"/>
        <v>5719.2343849834187</v>
      </c>
      <c r="F96" s="13">
        <f t="shared" ca="1" si="8"/>
        <v>5599.0103033816558</v>
      </c>
      <c r="G96" s="13">
        <f t="shared" ca="1" si="9"/>
        <v>5681.3298286375248</v>
      </c>
      <c r="I96" s="14">
        <f t="shared" ca="1" si="16"/>
        <v>2</v>
      </c>
      <c r="J96" s="5">
        <f t="shared" ca="1" si="17"/>
        <v>5599.0103033816558</v>
      </c>
      <c r="K96" s="5">
        <f t="shared" ca="1" si="18"/>
        <v>5793.3176333816555</v>
      </c>
    </row>
    <row r="97" spans="1:11" x14ac:dyDescent="0.25">
      <c r="A97" s="2">
        <f t="shared" si="10"/>
        <v>95</v>
      </c>
      <c r="B97" s="3">
        <f t="shared" ca="1" si="11"/>
        <v>5220.9339738341132</v>
      </c>
      <c r="C97" s="3">
        <v>194.30733000000001</v>
      </c>
      <c r="E97" s="13">
        <f t="shared" ca="1" si="12"/>
        <v>5719.2343849834187</v>
      </c>
      <c r="F97" s="13">
        <f t="shared" ca="1" si="8"/>
        <v>5793.3176333816555</v>
      </c>
      <c r="G97" s="13">
        <f t="shared" ca="1" si="9"/>
        <v>5681.3298286375248</v>
      </c>
      <c r="I97" s="14">
        <f t="shared" ca="1" si="16"/>
        <v>3</v>
      </c>
      <c r="J97" s="5">
        <f t="shared" ca="1" si="17"/>
        <v>5681.3298286375248</v>
      </c>
      <c r="K97" s="5">
        <f t="shared" ca="1" si="18"/>
        <v>5875.6371586375244</v>
      </c>
    </row>
    <row r="98" spans="1:11" x14ac:dyDescent="0.25">
      <c r="A98" s="2">
        <f t="shared" si="10"/>
        <v>96</v>
      </c>
      <c r="B98" s="3">
        <f t="shared" ca="1" si="11"/>
        <v>5282.2924690107839</v>
      </c>
      <c r="C98" s="3">
        <v>194.30733000000001</v>
      </c>
      <c r="E98" s="13">
        <f t="shared" ca="1" si="12"/>
        <v>5719.2343849834187</v>
      </c>
      <c r="F98" s="13">
        <f t="shared" ca="1" si="8"/>
        <v>5793.3176333816555</v>
      </c>
      <c r="G98" s="13">
        <f t="shared" ca="1" si="9"/>
        <v>5875.6371586375244</v>
      </c>
      <c r="I98" s="14">
        <f t="shared" ca="1" si="16"/>
        <v>1</v>
      </c>
      <c r="J98" s="5">
        <f t="shared" ca="1" si="17"/>
        <v>5719.2343849834187</v>
      </c>
      <c r="K98" s="5">
        <f t="shared" ca="1" si="18"/>
        <v>5913.5417149834184</v>
      </c>
    </row>
    <row r="99" spans="1:11" x14ac:dyDescent="0.25">
      <c r="A99" s="2">
        <f t="shared" si="10"/>
        <v>97</v>
      </c>
      <c r="B99" s="3">
        <f t="shared" ca="1" si="11"/>
        <v>5308.8995620729847</v>
      </c>
      <c r="C99" s="3">
        <v>194.30733000000001</v>
      </c>
      <c r="E99" s="13">
        <f t="shared" ca="1" si="12"/>
        <v>5913.5417149834184</v>
      </c>
      <c r="F99" s="13">
        <f t="shared" ca="1" si="8"/>
        <v>5793.3176333816555</v>
      </c>
      <c r="G99" s="13">
        <f t="shared" ca="1" si="9"/>
        <v>5875.6371586375244</v>
      </c>
      <c r="I99" s="14">
        <f t="shared" ca="1" si="16"/>
        <v>2</v>
      </c>
      <c r="J99" s="5">
        <f t="shared" ca="1" si="17"/>
        <v>5793.3176333816555</v>
      </c>
      <c r="K99" s="5">
        <f t="shared" ca="1" si="18"/>
        <v>5987.6249633816551</v>
      </c>
    </row>
    <row r="100" spans="1:11" x14ac:dyDescent="0.25">
      <c r="A100" s="2">
        <f t="shared" si="10"/>
        <v>98</v>
      </c>
      <c r="B100" s="3">
        <f t="shared" ca="1" si="11"/>
        <v>5476.7343291458128</v>
      </c>
      <c r="C100" s="3">
        <v>194.30733000000001</v>
      </c>
      <c r="E100" s="13">
        <f t="shared" ca="1" si="12"/>
        <v>5913.5417149834184</v>
      </c>
      <c r="F100" s="13">
        <f t="shared" ca="1" si="8"/>
        <v>5987.6249633816551</v>
      </c>
      <c r="G100" s="13">
        <f t="shared" ca="1" si="9"/>
        <v>5875.6371586375244</v>
      </c>
      <c r="I100" s="14">
        <f t="shared" ca="1" si="16"/>
        <v>3</v>
      </c>
      <c r="J100" s="5">
        <f t="shared" ca="1" si="17"/>
        <v>5875.6371586375244</v>
      </c>
      <c r="K100" s="5">
        <f t="shared" ca="1" si="18"/>
        <v>6069.944488637524</v>
      </c>
    </row>
    <row r="101" spans="1:11" x14ac:dyDescent="0.25">
      <c r="A101" s="2">
        <f t="shared" si="10"/>
        <v>99</v>
      </c>
      <c r="B101" s="3">
        <f t="shared" ca="1" si="11"/>
        <v>5476.9128047267013</v>
      </c>
      <c r="C101" s="3">
        <v>194.30733000000001</v>
      </c>
      <c r="E101" s="13">
        <f t="shared" ca="1" si="12"/>
        <v>5913.5417149834184</v>
      </c>
      <c r="F101" s="13">
        <f t="shared" ca="1" si="8"/>
        <v>5987.6249633816551</v>
      </c>
      <c r="G101" s="13">
        <f t="shared" ca="1" si="9"/>
        <v>6069.944488637524</v>
      </c>
      <c r="I101" s="14">
        <f t="shared" ca="1" si="16"/>
        <v>1</v>
      </c>
      <c r="J101" s="5">
        <f t="shared" ca="1" si="17"/>
        <v>5913.5417149834184</v>
      </c>
      <c r="K101" s="5">
        <f t="shared" ca="1" si="18"/>
        <v>6107.849044983418</v>
      </c>
    </row>
    <row r="102" spans="1:11" x14ac:dyDescent="0.25">
      <c r="A102" s="2">
        <f t="shared" si="10"/>
        <v>100</v>
      </c>
      <c r="B102" s="3">
        <f t="shared" ca="1" si="11"/>
        <v>5556.448602831224</v>
      </c>
      <c r="C102" s="3">
        <v>194.30733000000001</v>
      </c>
      <c r="E102" s="13">
        <f t="shared" ca="1" si="12"/>
        <v>6107.849044983418</v>
      </c>
      <c r="F102" s="13">
        <f t="shared" ca="1" si="8"/>
        <v>5987.6249633816551</v>
      </c>
      <c r="G102" s="13">
        <f t="shared" ca="1" si="9"/>
        <v>6069.944488637524</v>
      </c>
      <c r="I102" s="14">
        <f t="shared" ca="1" si="16"/>
        <v>2</v>
      </c>
      <c r="J102" s="5">
        <f t="shared" ca="1" si="17"/>
        <v>5987.6249633816551</v>
      </c>
      <c r="K102" s="5">
        <f t="shared" ca="1" si="18"/>
        <v>6181.9322933816547</v>
      </c>
    </row>
  </sheetData>
  <mergeCells count="3">
    <mergeCell ref="E1:G1"/>
    <mergeCell ref="I1:K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Model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dbulger</dc:creator>
  <cp:lastModifiedBy>David Bulger</cp:lastModifiedBy>
  <dcterms:created xsi:type="dcterms:W3CDTF">2012-05-02T12:50:54Z</dcterms:created>
  <dcterms:modified xsi:type="dcterms:W3CDTF">2012-05-03T15:02:51Z</dcterms:modified>
</cp:coreProperties>
</file>